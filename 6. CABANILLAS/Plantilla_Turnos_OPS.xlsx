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jgmeras\Documents\Python Scripts\6. CABANILLAS\"/>
    </mc:Choice>
  </mc:AlternateContent>
  <xr:revisionPtr revIDLastSave="0" documentId="13_ncr:1_{E90CA431-85B0-487F-A54E-56EDDD854F21}" xr6:coauthVersionLast="47" xr6:coauthVersionMax="47" xr10:uidLastSave="{00000000-0000-0000-0000-000000000000}"/>
  <bookViews>
    <workbookView xWindow="-108" yWindow="-108" windowWidth="23256" windowHeight="12576" firstSheet="1" activeTab="2" xr2:uid="{00000000-000D-0000-FFFF-FFFF00000000}"/>
  </bookViews>
  <sheets>
    <sheet name="SEMANA" sheetId="1" state="hidden" r:id="rId1"/>
    <sheet name="ENERO" sheetId="5" r:id="rId2"/>
    <sheet name="FEBRERO" sheetId="6" r:id="rId3"/>
    <sheet name="Hoja1" sheetId="2" r:id="rId4"/>
  </sheets>
  <definedNames>
    <definedName name="ELECTROLUX">#REF!</definedName>
    <definedName name="FUNCION" localSheetId="2">Tabla7[[#All],[FUNCION]]</definedName>
    <definedName name="FUNCION">Tabla7[[#All],[FUNCION]]</definedName>
    <definedName name="NIKE">#REF!</definedName>
    <definedName name="OPERATIVA" localSheetId="2">Tabla1[[#All],[OPERATIVA]]</definedName>
    <definedName name="OPERATIVA">Tabla1[[#All],[OPERATIVA]]</definedName>
    <definedName name="TURNOS" localSheetId="2">Tabla2[[#All],[TURNOS]]</definedName>
    <definedName name="TURNOS">Tabla2[[#All],[TURNOS]]</definedName>
    <definedName name="ZOOPLU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4" i="6" l="1"/>
  <c r="BG4" i="6"/>
  <c r="BF4" i="6"/>
  <c r="BE4" i="6"/>
  <c r="BD4" i="6"/>
  <c r="BC4" i="6"/>
  <c r="BB4" i="6"/>
  <c r="BA4" i="6"/>
  <c r="AZ4" i="6"/>
  <c r="AY4" i="6"/>
  <c r="AX4" i="6"/>
  <c r="AW4" i="6"/>
  <c r="AV4" i="6"/>
  <c r="AU4" i="6"/>
  <c r="AT4" i="6"/>
  <c r="AS4" i="6"/>
  <c r="AR4" i="6"/>
  <c r="AQ4" i="6"/>
  <c r="AP4" i="6"/>
  <c r="AO4" i="6"/>
  <c r="AN4" i="6"/>
  <c r="AM4" i="6"/>
  <c r="AL4" i="6"/>
  <c r="AK4" i="6"/>
  <c r="AJ4" i="6"/>
  <c r="AI4" i="6"/>
  <c r="AH4" i="6"/>
  <c r="AG4" i="6"/>
  <c r="AF4" i="6"/>
  <c r="AE4" i="6"/>
  <c r="AD4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AP4" i="5"/>
  <c r="AQ4" i="5"/>
  <c r="AR4" i="5"/>
  <c r="AS4" i="5"/>
  <c r="AT4" i="5"/>
  <c r="AU4" i="5"/>
  <c r="AV4" i="5"/>
  <c r="AW4" i="5"/>
  <c r="AX4" i="5"/>
  <c r="AY4" i="5"/>
  <c r="AZ4" i="5"/>
  <c r="BA4" i="5"/>
  <c r="BB4" i="5"/>
  <c r="BC4" i="5"/>
  <c r="BD4" i="5"/>
  <c r="BE4" i="5"/>
  <c r="BF4" i="5"/>
  <c r="BG4" i="5"/>
  <c r="BH4" i="5"/>
  <c r="BI4" i="5"/>
  <c r="BJ4" i="5"/>
  <c r="BK4" i="5"/>
  <c r="BL4" i="5"/>
  <c r="C4" i="5"/>
  <c r="B7" i="6" a="1"/>
  <c r="B7" i="6" s="1"/>
  <c r="A7" i="6" a="1"/>
  <c r="A7" i="6" s="1"/>
  <c r="A7" i="5" a="1"/>
  <c r="A7" i="5" s="1"/>
  <c r="B7" i="5" a="1"/>
  <c r="B7" i="5" s="1"/>
  <c r="L4" i="2" a="1"/>
  <c r="L4" i="2" s="1"/>
  <c r="B11" i="1" l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21" i="1"/>
  <c r="C8" i="1" l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B12" i="1" l="1"/>
  <c r="B13" i="1" s="1"/>
  <c r="B14" i="1" s="1"/>
  <c r="B15" i="1" s="1"/>
  <c r="B16" i="1" s="1"/>
  <c r="B17" i="1" s="1"/>
  <c r="C17" i="1" s="1"/>
  <c r="C12" i="1" l="1"/>
  <c r="C16" i="1"/>
  <c r="C15" i="1"/>
  <c r="C14" i="1"/>
  <c r="C13" i="1"/>
  <c r="C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<sst xmlns="http://schemas.openxmlformats.org/spreadsheetml/2006/main" count="540" uniqueCount="215">
  <si>
    <t>MAÑANA</t>
  </si>
  <si>
    <t>TARDE</t>
  </si>
  <si>
    <t>PARTIDO</t>
  </si>
  <si>
    <t>Nombre</t>
  </si>
  <si>
    <t>Lunes</t>
  </si>
  <si>
    <t>Martes</t>
  </si>
  <si>
    <t>Jueves</t>
  </si>
  <si>
    <t>Viernes</t>
  </si>
  <si>
    <t>Sábado</t>
  </si>
  <si>
    <t>Domingo</t>
  </si>
  <si>
    <t>Fecha</t>
  </si>
  <si>
    <t>Día</t>
  </si>
  <si>
    <t>Día/Turno</t>
  </si>
  <si>
    <t>Miércoles</t>
  </si>
  <si>
    <t>WEEK</t>
  </si>
  <si>
    <t>CONTROL</t>
  </si>
  <si>
    <t>OPERATIVA</t>
  </si>
  <si>
    <t>ELECTROLUX</t>
  </si>
  <si>
    <t>NIKE</t>
  </si>
  <si>
    <t>ZOOPLUS</t>
  </si>
  <si>
    <t>WK</t>
  </si>
  <si>
    <t>DIA</t>
  </si>
  <si>
    <t>NOMBRE</t>
  </si>
  <si>
    <t>AGARBANE, YASSIR</t>
  </si>
  <si>
    <t>GIANNASI BAROZZI, SAURO</t>
  </si>
  <si>
    <t>PERVEZ, PERVEZ</t>
  </si>
  <si>
    <t>MORATILLA OLIVA, ARANCHA</t>
  </si>
  <si>
    <t>LARIOS GALVEZ, BRANDON</t>
  </si>
  <si>
    <t>HICHO SUCHITE, EDWIN BENITO</t>
  </si>
  <si>
    <t>MIRCHEVA KRASTEVA, IVANKA</t>
  </si>
  <si>
    <t>ROSS PALOMINO, GEORGE</t>
  </si>
  <si>
    <t>VASQUEZ VASQUEZ, JEFFRY DANIEL</t>
  </si>
  <si>
    <t>BOUKRAA, IMAD</t>
  </si>
  <si>
    <t>BAUTISTA ADAN, MIRIAM</t>
  </si>
  <si>
    <t>PEREZ GARCIA, JOSE MIGUEL</t>
  </si>
  <si>
    <t>BARAHONA SOPEÑA, ALICIA</t>
  </si>
  <si>
    <t>LEGARDA ROMEO, MARTA LIUDMILA</t>
  </si>
  <si>
    <t>ATOCCSA BARBOZA, CRISTHIAN</t>
  </si>
  <si>
    <t>CHEJ NAYEM, SIDAHMED</t>
  </si>
  <si>
    <t>MILLAN MILLA, LUIS BELTRAN</t>
  </si>
  <si>
    <t>LVM</t>
  </si>
  <si>
    <t>LVT</t>
  </si>
  <si>
    <t>DJM</t>
  </si>
  <si>
    <t>DJT</t>
  </si>
  <si>
    <t>TURNO</t>
  </si>
  <si>
    <t>FUNCION</t>
  </si>
  <si>
    <t>ENRUTADO</t>
  </si>
  <si>
    <t>TURNOS</t>
  </si>
  <si>
    <t>LVN</t>
  </si>
  <si>
    <t>DJN</t>
  </si>
  <si>
    <t>PICKING</t>
  </si>
  <si>
    <t>PACKING</t>
  </si>
  <si>
    <t>YUSTE CORBERA, OSCAR</t>
  </si>
  <si>
    <t>TEODORESCU, ANDRA GEORGIANA</t>
  </si>
  <si>
    <t>CARRERO LOPEZ, DAVID</t>
  </si>
  <si>
    <t>LUCAS LOPEZ, ADRIAN</t>
  </si>
  <si>
    <t>ESCUDERO DEL OLMO, JOSE LUIS</t>
  </si>
  <si>
    <t>AYMERICH MARTIN, JOSE</t>
  </si>
  <si>
    <t>RODA RODRIGUEZ, JUAN</t>
  </si>
  <si>
    <t>ALBA BLAZQUEZ, LORENA</t>
  </si>
  <si>
    <t>CAMPOS MATEO, ANA ISABEL</t>
  </si>
  <si>
    <t>GOMEZ MONTES, LUIS JAVIER</t>
  </si>
  <si>
    <t>GONZALEZ GARCIA, FERNANDO</t>
  </si>
  <si>
    <t>HERRERO SANCHEZ, JAVIER</t>
  </si>
  <si>
    <t>LOPESINO PRIETO, DAVID</t>
  </si>
  <si>
    <t>MORENO MAZA, PEDRO ANTONIO</t>
  </si>
  <si>
    <t>REGALADO SIERRA, OSCAR</t>
  </si>
  <si>
    <t>PINTADO PARRA, ALEJANDRO</t>
  </si>
  <si>
    <t>TAMAYO CARDONA, JORGE ELIECER</t>
  </si>
  <si>
    <t>TORBADO CAMPILLO, DARIO</t>
  </si>
  <si>
    <t>ALBO CARDO, JAVIER</t>
  </si>
  <si>
    <t>RIVERO GARCIA, AGUSTIN</t>
  </si>
  <si>
    <t>PIZARROSO LOPEZ, FRANCISCO JOSE</t>
  </si>
  <si>
    <t>MANZANERO ESCRIBANO, IVAN</t>
  </si>
  <si>
    <t>PLATA RODRIGUEZ, JOSE</t>
  </si>
  <si>
    <t>DOMINGUEZ MERCHAN, JAIME JESUS</t>
  </si>
  <si>
    <t>DIAZ GARCIA DEL RIO, JUAN MANUEL</t>
  </si>
  <si>
    <t>LOZANO CAMPON, JESUS</t>
  </si>
  <si>
    <t>PANTA TORRES, LUIS FERNANDO</t>
  </si>
  <si>
    <t>PERUCHA GARCIA, SERGIO</t>
  </si>
  <si>
    <t>MENASALVAS TELLEZ, JESUS</t>
  </si>
  <si>
    <t>MARTINEZ FUENTES, RAUL</t>
  </si>
  <si>
    <t>GONZALEZ LUENGO, JOSE LUIS</t>
  </si>
  <si>
    <t>ANGEL CORREA, CATALINA</t>
  </si>
  <si>
    <t>BENALLAL EL HBIL, TOURIA</t>
  </si>
  <si>
    <t>BENKARA, DJILALI</t>
  </si>
  <si>
    <t>SANCHEZ MARTIN, OSCAR MANUEL</t>
  </si>
  <si>
    <t>SEGOVIA ARROBA, JOSE ANTONIO</t>
  </si>
  <si>
    <t>ZAIMI, OUFAE</t>
  </si>
  <si>
    <t>BARRY, ABDOULAYE</t>
  </si>
  <si>
    <t>GARCIA RODRIGUEZ, JOSE JAVIER</t>
  </si>
  <si>
    <t>MOLNAR, IULIA VIORICA</t>
  </si>
  <si>
    <t>MAYORGA ULLAURI, ISABEL GLADYS</t>
  </si>
  <si>
    <t>BLAZQUEZ BELLO, ROBERTO</t>
  </si>
  <si>
    <t>ESCALANTE OLAVE, SEBASTIAN</t>
  </si>
  <si>
    <t>MONTENEGRO, SAMUEL</t>
  </si>
  <si>
    <t>YEBRA GONZALO, RICARDO</t>
  </si>
  <si>
    <t>YEBRA GONZALO, VICTOR</t>
  </si>
  <si>
    <t>VILLAROEL, BAUDILIO</t>
  </si>
  <si>
    <t>AGBONWANETEN AGUEBOR, AUGUSTINE</t>
  </si>
  <si>
    <t>BENJAMIN SEDANO, KENNY</t>
  </si>
  <si>
    <t>BARDON GARCIA, RICARDO</t>
  </si>
  <si>
    <t>BENNAI ABAKHTI, AICHA</t>
  </si>
  <si>
    <t>AMIN, ABDUL FAHAD</t>
  </si>
  <si>
    <t>DIAZ PALOMINO, CESAR AUGUSTO</t>
  </si>
  <si>
    <t>BARCHINO PLATA, M VAL</t>
  </si>
  <si>
    <t>CARRASCO OTERO, VIRGINIA</t>
  </si>
  <si>
    <t>CASTILLO CATALINA, NURIA</t>
  </si>
  <si>
    <t>EGIDO LOPEZ, ROCIO</t>
  </si>
  <si>
    <t>GARCIA RIVERO, DANIEL</t>
  </si>
  <si>
    <t>GONZALEZ CRESPO, DANIEL</t>
  </si>
  <si>
    <t>LOPEZ FERNANDEZ, NURIA</t>
  </si>
  <si>
    <t>RECIO ORTIZ, DAVID</t>
  </si>
  <si>
    <t>RODRIGUEZ EXPOSITO, M MERCEDES</t>
  </si>
  <si>
    <t>SANTAMARIA GARCIA, ANGEL</t>
  </si>
  <si>
    <t>AGUADO, BELÃ‰N</t>
  </si>
  <si>
    <t>DEL MORAL LOPEZ, JESUS</t>
  </si>
  <si>
    <t>GARCIA SANCHEZ, MARCOS</t>
  </si>
  <si>
    <t>MENDOZA BAZAN, ANGEL ARISTERES</t>
  </si>
  <si>
    <t>AROCA FUENTES, SARA</t>
  </si>
  <si>
    <t>ORTEGA GARCIA, PABLO</t>
  </si>
  <si>
    <t>TOBOSO ONTORIA, JUAN MANUEL</t>
  </si>
  <si>
    <t>GREGORIO RUIZ, ADRIAN</t>
  </si>
  <si>
    <t>GUTIERREZ TORRALBA, IZAN</t>
  </si>
  <si>
    <t>DUMITRESCU XXX, GEORGETA CARMEN</t>
  </si>
  <si>
    <t>OSAHENI OYEGUE, LUCKY</t>
  </si>
  <si>
    <t>GIL MEZCUA, IVAN</t>
  </si>
  <si>
    <t>DOMINGO DE LA LLANA, SAMUEL</t>
  </si>
  <si>
    <t>FERNANDES RIBEIRO, SANDRA</t>
  </si>
  <si>
    <t>PERALTA PANTA ESTELA CINDIA</t>
  </si>
  <si>
    <t>OBI FRIDAY CHIMA</t>
  </si>
  <si>
    <t>QUILCATE TIRADO, LUZ MARIA</t>
  </si>
  <si>
    <t>MOHAMED EL HADJ, MOHAMMED</t>
  </si>
  <si>
    <t>SOTO MARIN , MATEO</t>
  </si>
  <si>
    <t>PEREZ ALCALA, HENRY MANUEL</t>
  </si>
  <si>
    <t>SARNO BARRETO KEY ALEJANDRO</t>
  </si>
  <si>
    <t>RADA GARCIA, ZULEICA DEL VALLE</t>
  </si>
  <si>
    <t>ACEROS TELLEZ, FABIAN</t>
  </si>
  <si>
    <t>RAUL MEDINA BARRIO</t>
  </si>
  <si>
    <t xml:space="preserve"> CAMPOMA MOYA ANA RUT</t>
  </si>
  <si>
    <t xml:space="preserve"> GARRIDO DÃAZ DANNY</t>
  </si>
  <si>
    <t>ENRIQUE CARABALLOS MELON</t>
  </si>
  <si>
    <t>MORA ASENSIO, CRISTIAN JAVIER</t>
  </si>
  <si>
    <t>BLASCO COLONIA, OMAR</t>
  </si>
  <si>
    <t>SEQUERA GARCIA, DIEGO</t>
  </si>
  <si>
    <t>MARQUEZ FERNANDEZ, ALONSO YVAN</t>
  </si>
  <si>
    <t>JUAREZ NARVAEZ, MILKY FRAYMILET</t>
  </si>
  <si>
    <t>CRISTHIAN FLORES NEIRA</t>
  </si>
  <si>
    <t xml:space="preserve"> OBACO SÃNCHEZ RUTH NOEMÃ</t>
  </si>
  <si>
    <t>GUTIERREZ PEREZ, DIEGO</t>
  </si>
  <si>
    <t>UNIMKE CHAMBA, KENNETH</t>
  </si>
  <si>
    <t>SALAH EDDINE BOUAGAD</t>
  </si>
  <si>
    <t>MANZANO RODRIGUEZ, DIEGO</t>
  </si>
  <si>
    <t>EL AISSATI, ZINEB</t>
  </si>
  <si>
    <t>MELGAR PUENTES, ELENA</t>
  </si>
  <si>
    <t>LOPEZ PEREZ, MONICA</t>
  </si>
  <si>
    <t>PEGERO MENDEZ, YORDARI</t>
  </si>
  <si>
    <t>ORTIZ DE LA  CRUZ DAIRONEL NEIRENI</t>
  </si>
  <si>
    <t>KALISZ PATRYK</t>
  </si>
  <si>
    <t>SMAIL, MELIANI ABDENNOUR</t>
  </si>
  <si>
    <t>AGUAYZA ADRIANA</t>
  </si>
  <si>
    <t>OSSA DAZA, DANIELA</t>
  </si>
  <si>
    <t>ALBA RAMIREZ, RAQUEL</t>
  </si>
  <si>
    <t>BARRERA, EDWIN</t>
  </si>
  <si>
    <t>OMOREGBEE LUCKY</t>
  </si>
  <si>
    <t>STEFAN, DANIELA</t>
  </si>
  <si>
    <t>REYNA MORALES, VICTOR ARTURO</t>
  </si>
  <si>
    <t>JIMENEZ GUTIERREZ, YERAY</t>
  </si>
  <si>
    <t>CAICEDO ASTUDILLO, ARLES</t>
  </si>
  <si>
    <t>DJUA, DJIBRIL</t>
  </si>
  <si>
    <t>ZAIMI, MOSTAFA</t>
  </si>
  <si>
    <t>BALCAZAR RESTREPO, MIGUEL ANGEL</t>
  </si>
  <si>
    <t>GONZALEZ ARANGO, KATERINE ALEXANDRA</t>
  </si>
  <si>
    <t>UNLAYAO CABRILLAS, JENNIFER</t>
  </si>
  <si>
    <t>MAYORA VELASQUEZ, YANDRA CAROLINA</t>
  </si>
  <si>
    <t>BENKARA, KHALED</t>
  </si>
  <si>
    <t>CABRERIZO SELA, JAIME</t>
  </si>
  <si>
    <t>HUAMÃN ALIAGA, ESTHER MELY</t>
  </si>
  <si>
    <t>PEREZ RODRIGUEZ, JOSE YEINNER</t>
  </si>
  <si>
    <t>GARCIA LOZANO, JULIO</t>
  </si>
  <si>
    <t>LEON ORTIZ, MONICA PAOLA</t>
  </si>
  <si>
    <t>ALVARADO GODÃNEZ,LUIS ENRIQUE</t>
  </si>
  <si>
    <t>DIAZ PEÃ“ARANDA, DAIRYS</t>
  </si>
  <si>
    <t>ASTUDILLO, MARIA CANDELA</t>
  </si>
  <si>
    <t>ZAPATA POVEDA, MIGUEL ANGEL</t>
  </si>
  <si>
    <t>BOUCHRITE, SAMIR</t>
  </si>
  <si>
    <t>RUIZ GOMEZ, NATALIA</t>
  </si>
  <si>
    <t>ALONZO BRUNELLO, DIEGO</t>
  </si>
  <si>
    <t>COSSIO CHONG, ALBERTO</t>
  </si>
  <si>
    <t>AVILA DOMINGUEZ, JULIO</t>
  </si>
  <si>
    <t>LENCINA, ARIEL OMAR</t>
  </si>
  <si>
    <t>DIEZ PALACIOS, OSCAR</t>
  </si>
  <si>
    <t>RAMOS GONZALEZ, ANDRES FELIPE</t>
  </si>
  <si>
    <t>CASTILLO MARIN, ERIC ALBERTO</t>
  </si>
  <si>
    <t>DOMINGUEZ BAUTISTA, DONALD JUNIOR</t>
  </si>
  <si>
    <t>BERRACHED, MHAMED</t>
  </si>
  <si>
    <t>MERINO PEREZ, CRISTINA</t>
  </si>
  <si>
    <t>ALCALDE LOPEZ, IRENE</t>
  </si>
  <si>
    <t>FERNANDEZ GUTIERREZ, ANDRES</t>
  </si>
  <si>
    <t>PAREDES, ELENA</t>
  </si>
  <si>
    <t>GUTIERREZ ALVAREZ, ANGIE LORENA</t>
  </si>
  <si>
    <t>OSPINA OSPINA, ANGIE CATERINE</t>
  </si>
  <si>
    <t>DIAZ MARVEZ, ARIANNY</t>
  </si>
  <si>
    <t>SANCHEZ GRAJALES, SEBASTIAN</t>
  </si>
  <si>
    <t>RIVADERO, YAMILA</t>
  </si>
  <si>
    <t>MALLQUI LIMACHE, ROSMERY</t>
  </si>
  <si>
    <t>CRESPO CRUZ, ROBERTO</t>
  </si>
  <si>
    <t>APC2_ID</t>
  </si>
  <si>
    <t>CLIENTE</t>
  </si>
  <si>
    <t>MUÑOZ RAMIREZ, CRISTIAN</t>
  </si>
  <si>
    <t>JACOME CASTAÑEDA, NICOLAS FERNANDO</t>
  </si>
  <si>
    <t>ZUÑIGA HOLGUIN, KARLA MIRELLA</t>
  </si>
  <si>
    <t>SALDAÑA OTERO, M LOURDES</t>
  </si>
  <si>
    <t>APC2</t>
  </si>
  <si>
    <t>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</si>
</sst>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4.9989318521683403E-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1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4" fontId="3" fillId="3" borderId="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theme="7" tint="-0.24994659260841701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</xdr:colOff>
      <xdr:row>2</xdr:row>
      <xdr:rowOff>85725</xdr:rowOff>
    </xdr:from>
    <xdr:to>
      <xdr:col>21</xdr:col>
      <xdr:colOff>266700</xdr:colOff>
      <xdr:row>14</xdr:row>
      <xdr:rowOff>95250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88571664-DEFE-D4C7-EC20-CABDCA293108}"/>
            </a:ext>
          </a:extLst>
        </xdr:cNvPr>
        <xdr:cNvSpPr/>
      </xdr:nvSpPr>
      <xdr:spPr>
        <a:xfrm>
          <a:off x="4400550" y="447675"/>
          <a:ext cx="14125575" cy="2333625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6600" b="1">
              <a:solidFill>
                <a:schemeClr val="accent2">
                  <a:lumMod val="75000"/>
                </a:schemeClr>
              </a:solidFill>
              <a:latin typeface="ADLaM Display" panose="020B0604020202020204" pitchFamily="2" charset="0"/>
              <a:ea typeface="ADLaM Display" panose="020B0604020202020204" pitchFamily="2" charset="0"/>
              <a:cs typeface="ADLaM Display" panose="020B0604020202020204" pitchFamily="2" charset="0"/>
            </a:rPr>
            <a:t>PLANTILLA</a:t>
          </a:r>
          <a:r>
            <a:rPr lang="es-ES" sz="6600" b="1" baseline="0">
              <a:solidFill>
                <a:schemeClr val="accent2">
                  <a:lumMod val="75000"/>
                </a:schemeClr>
              </a:solidFill>
              <a:latin typeface="ADLaM Display" panose="020B0604020202020204" pitchFamily="2" charset="0"/>
              <a:ea typeface="ADLaM Display" panose="020B0604020202020204" pitchFamily="2" charset="0"/>
              <a:cs typeface="ADLaM Display" panose="020B0604020202020204" pitchFamily="2" charset="0"/>
            </a:rPr>
            <a:t> TURNOS GXO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113CD66-BEDC-47BD-A0D2-B0D98438DAF5}" name="Tabla4" displayName="Tabla4" ref="B10:C17" totalsRowShown="0" headerRowDxfId="5" dataDxfId="4">
  <autoFilter ref="B10:C17" xr:uid="{1113CD66-BEDC-47BD-A0D2-B0D98438DAF5}"/>
  <tableColumns count="2">
    <tableColumn id="1" xr3:uid="{6F151A7F-7AD3-4D3F-8042-F2183B496383}" name="Fecha" dataDxfId="3" totalsRowDxfId="2"/>
    <tableColumn id="2" xr3:uid="{D99015AE-B43E-452B-B9FB-78B364CA57F1}" name="Día" dataDxfId="1" totalsRowDxfId="0">
      <calculatedColumnFormula>PROPER(TEXT(Tabla4[[#This Row],[Fecha]],"dddd"))</calculatedColumnFormula>
    </tableColumn>
  </tableColumns>
  <tableStyleInfo name="TableStyleDark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7F25CE-7CB2-416C-8552-F8876A1E9B4C}" name="Tabla1" displayName="Tabla1" ref="D4:D7" totalsRowShown="0">
  <autoFilter ref="D4:D7" xr:uid="{E87F25CE-7CB2-416C-8552-F8876A1E9B4C}"/>
  <tableColumns count="1">
    <tableColumn id="1" xr3:uid="{DB9C0F79-ADC0-46AD-A040-5B714B8EB984}" name="OPERATIV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A59D7C-1B9B-4F6A-A366-1BAEA6D435E5}" name="Tabla2" displayName="Tabla2" ref="F4:F10" totalsRowShown="0">
  <autoFilter ref="F4:F10" xr:uid="{71A59D7C-1B9B-4F6A-A366-1BAEA6D435E5}"/>
  <tableColumns count="1">
    <tableColumn id="1" xr3:uid="{D0EDD552-1AF5-4568-B408-573EABD3A3BE}" name="TURNO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ED20A0F-7E38-45A0-9D29-87A5F30EA9D5}" name="Tabla7" displayName="Tabla7" ref="D20:D24" totalsRowShown="0">
  <autoFilter ref="D20:D24" xr:uid="{EED20A0F-7E38-45A0-9D29-87A5F30EA9D5}"/>
  <tableColumns count="1">
    <tableColumn id="1" xr3:uid="{89A91730-6EF4-4EB2-A686-192A021862F5}" name="FUNC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F8EA2C-7651-4971-BB40-287C2BA67F33}" name="Tabla3" displayName="Tabla3" ref="H4:J180" totalsRowShown="0">
  <autoFilter ref="H4:J180" xr:uid="{C4F8EA2C-7651-4971-BB40-287C2BA67F33}"/>
  <tableColumns count="3">
    <tableColumn id="1" xr3:uid="{A09A36A4-A78D-4E97-A892-D39ED0026849}" name="APC2_ID"/>
    <tableColumn id="2" xr3:uid="{23A7B9A0-9BCD-49CA-BFEB-1044B1645855}" name="NOMBRE"/>
    <tableColumn id="4" xr3:uid="{BE821E20-8134-4612-BC0B-EB8863F62AAA}" name="CLI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1038"/>
  <sheetViews>
    <sheetView showGridLines="0" topLeftCell="B8" workbookViewId="0">
      <selection activeCell="B19" sqref="B19:B20"/>
    </sheetView>
  </sheetViews>
  <sheetFormatPr baseColWidth="10" defaultColWidth="11.77734375" defaultRowHeight="14.4" x14ac:dyDescent="0.3"/>
  <cols>
    <col min="2" max="2" width="39.33203125" customWidth="1"/>
    <col min="3" max="3" width="16.77734375" style="2" customWidth="1"/>
    <col min="4" max="23" width="11.77734375" style="2"/>
    <col min="24" max="24" width="0" hidden="1" customWidth="1"/>
  </cols>
  <sheetData>
    <row r="1" spans="2:14" customFormat="1" x14ac:dyDescent="0.3"/>
    <row r="2" spans="2:14" customFormat="1" x14ac:dyDescent="0.3"/>
    <row r="3" spans="2:14" customFormat="1" ht="21" x14ac:dyDescent="0.4">
      <c r="I3" s="1"/>
      <c r="J3" s="1"/>
      <c r="K3" s="1"/>
    </row>
    <row r="4" spans="2:14" customFormat="1" x14ac:dyDescent="0.3"/>
    <row r="5" spans="2:14" customFormat="1" ht="15" thickBot="1" x14ac:dyDescent="0.35"/>
    <row r="6" spans="2:14" customFormat="1" ht="21.6" thickBot="1" x14ac:dyDescent="0.35">
      <c r="B6" s="3" t="s">
        <v>16</v>
      </c>
      <c r="C6" s="12" t="s">
        <v>17</v>
      </c>
    </row>
    <row r="7" spans="2:14" customFormat="1" ht="15" thickBot="1" x14ac:dyDescent="0.35"/>
    <row r="8" spans="2:14" customFormat="1" ht="21.6" thickBot="1" x14ac:dyDescent="0.35">
      <c r="B8" s="3" t="s">
        <v>14</v>
      </c>
      <c r="C8" s="12">
        <f ca="1">_xlfn.ISOWEEKNUM(TODAY())+1</f>
        <v>52</v>
      </c>
      <c r="D8" s="5"/>
      <c r="E8" s="5"/>
      <c r="F8" s="2"/>
      <c r="G8" s="2"/>
      <c r="H8" s="2"/>
      <c r="I8" s="2"/>
      <c r="J8" s="2"/>
      <c r="K8" s="2"/>
      <c r="L8" s="2"/>
      <c r="M8" s="2"/>
      <c r="N8" s="2"/>
    </row>
    <row r="9" spans="2:14" customFormat="1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2:14" customFormat="1" x14ac:dyDescent="0.3">
      <c r="B10" s="2" t="s">
        <v>10</v>
      </c>
      <c r="C10" s="2" t="s">
        <v>11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2:14" customFormat="1" x14ac:dyDescent="0.3">
      <c r="B11" s="4">
        <f ca="1">TODAY()+7</f>
        <v>45286</v>
      </c>
      <c r="C11" s="2" t="str">
        <f ca="1">PROPER(TEXT(Tabla4[[#This Row],[Fecha]],"dddd"))</f>
        <v>Martes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2:14" customFormat="1" x14ac:dyDescent="0.3">
      <c r="B12" s="4">
        <f ca="1">B11+1</f>
        <v>45287</v>
      </c>
      <c r="C12" s="2" t="str">
        <f ca="1">PROPER(TEXT(Tabla4[[#This Row],[Fecha]],"dddd"))</f>
        <v>Miércoles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2:14" customFormat="1" x14ac:dyDescent="0.3">
      <c r="B13" s="4">
        <f ca="1">B12+1</f>
        <v>45288</v>
      </c>
      <c r="C13" s="2" t="str">
        <f ca="1">PROPER(TEXT(Tabla4[[#This Row],[Fecha]],"dddd"))</f>
        <v>Jueves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2:14" customFormat="1" x14ac:dyDescent="0.3">
      <c r="B14" s="4">
        <f t="shared" ref="B14:B17" ca="1" si="0">B13+1</f>
        <v>45289</v>
      </c>
      <c r="C14" s="2" t="str">
        <f ca="1">PROPER(TEXT(Tabla4[[#This Row],[Fecha]],"dddd"))</f>
        <v>Viernes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2:14" customFormat="1" x14ac:dyDescent="0.3">
      <c r="B15" s="4">
        <f t="shared" ca="1" si="0"/>
        <v>45290</v>
      </c>
      <c r="C15" s="2" t="str">
        <f ca="1">PROPER(TEXT(Tabla4[[#This Row],[Fecha]],"dddd"))</f>
        <v>Sábado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2:14" customFormat="1" x14ac:dyDescent="0.3">
      <c r="B16" s="4">
        <f t="shared" ca="1" si="0"/>
        <v>45291</v>
      </c>
      <c r="C16" s="2" t="str">
        <f ca="1">PROPER(TEXT(Tabla4[[#This Row],[Fecha]],"dddd"))</f>
        <v>Domingo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2:24" x14ac:dyDescent="0.3">
      <c r="B17" s="4">
        <f t="shared" ca="1" si="0"/>
        <v>45292</v>
      </c>
      <c r="C17" s="2" t="str">
        <f ca="1">PROPER(TEXT(Tabla4[[#This Row],[Fecha]],"dddd"))</f>
        <v>Lunes</v>
      </c>
      <c r="O17"/>
      <c r="P17"/>
      <c r="Q17"/>
      <c r="R17"/>
      <c r="S17"/>
      <c r="T17"/>
      <c r="U17"/>
      <c r="V17"/>
      <c r="W17"/>
    </row>
    <row r="18" spans="2:24" x14ac:dyDescent="0.3">
      <c r="B18" s="2"/>
      <c r="O18"/>
      <c r="P18"/>
      <c r="Q18"/>
      <c r="R18"/>
      <c r="S18"/>
      <c r="T18"/>
      <c r="U18"/>
      <c r="V18"/>
      <c r="W18"/>
    </row>
    <row r="19" spans="2:24" ht="18" x14ac:dyDescent="0.3">
      <c r="B19" s="9" t="s">
        <v>12</v>
      </c>
      <c r="C19" s="16" t="s">
        <v>4</v>
      </c>
      <c r="D19" s="16"/>
      <c r="E19" s="16"/>
      <c r="F19" s="17" t="s">
        <v>5</v>
      </c>
      <c r="G19" s="18"/>
      <c r="H19" s="19"/>
      <c r="I19" s="17" t="s">
        <v>13</v>
      </c>
      <c r="J19" s="18"/>
      <c r="K19" s="19"/>
      <c r="L19" s="17" t="s">
        <v>6</v>
      </c>
      <c r="M19" s="18"/>
      <c r="N19" s="19"/>
      <c r="O19" s="17" t="s">
        <v>7</v>
      </c>
      <c r="P19" s="18"/>
      <c r="Q19" s="19"/>
      <c r="R19" s="17" t="s">
        <v>8</v>
      </c>
      <c r="S19" s="18"/>
      <c r="T19" s="19"/>
      <c r="U19" s="16" t="s">
        <v>9</v>
      </c>
      <c r="V19" s="16"/>
      <c r="W19" s="16"/>
    </row>
    <row r="20" spans="2:24" ht="18" x14ac:dyDescent="0.3">
      <c r="B20" s="10" t="s">
        <v>3</v>
      </c>
      <c r="C20" s="8" t="s">
        <v>0</v>
      </c>
      <c r="D20" s="8" t="s">
        <v>1</v>
      </c>
      <c r="E20" s="8" t="s">
        <v>2</v>
      </c>
      <c r="F20" s="8" t="s">
        <v>0</v>
      </c>
      <c r="G20" s="8" t="s">
        <v>1</v>
      </c>
      <c r="H20" s="8" t="s">
        <v>2</v>
      </c>
      <c r="I20" s="8" t="s">
        <v>0</v>
      </c>
      <c r="J20" s="8" t="s">
        <v>1</v>
      </c>
      <c r="K20" s="8" t="s">
        <v>2</v>
      </c>
      <c r="L20" s="8" t="s">
        <v>0</v>
      </c>
      <c r="M20" s="8" t="s">
        <v>1</v>
      </c>
      <c r="N20" s="8" t="s">
        <v>2</v>
      </c>
      <c r="O20" s="8" t="s">
        <v>0</v>
      </c>
      <c r="P20" s="8" t="s">
        <v>1</v>
      </c>
      <c r="Q20" s="8" t="s">
        <v>2</v>
      </c>
      <c r="R20" s="8" t="s">
        <v>0</v>
      </c>
      <c r="S20" s="8" t="s">
        <v>1</v>
      </c>
      <c r="T20" s="8" t="s">
        <v>2</v>
      </c>
      <c r="U20" s="8" t="s">
        <v>0</v>
      </c>
      <c r="V20" s="8" t="s">
        <v>1</v>
      </c>
      <c r="W20" s="8" t="s">
        <v>2</v>
      </c>
      <c r="X20" s="11" t="s">
        <v>15</v>
      </c>
    </row>
    <row r="21" spans="2:24" x14ac:dyDescent="0.3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>
        <f>IF(SUM(C21:W21)&lt;=5,1,0)</f>
        <v>1</v>
      </c>
    </row>
    <row r="22" spans="2:24" x14ac:dyDescent="0.3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>
        <f t="shared" ref="X22:X85" si="1">IF(SUM(C22:W22)&lt;=5,1,0)</f>
        <v>1</v>
      </c>
    </row>
    <row r="23" spans="2:24" x14ac:dyDescent="0.3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>
        <f t="shared" si="1"/>
        <v>1</v>
      </c>
    </row>
    <row r="24" spans="2:24" x14ac:dyDescent="0.3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>
        <f t="shared" si="1"/>
        <v>1</v>
      </c>
    </row>
    <row r="25" spans="2:24" x14ac:dyDescent="0.3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>
        <f t="shared" si="1"/>
        <v>1</v>
      </c>
    </row>
    <row r="26" spans="2:24" x14ac:dyDescent="0.3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>
        <f t="shared" si="1"/>
        <v>1</v>
      </c>
    </row>
    <row r="27" spans="2:24" x14ac:dyDescent="0.3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>
        <f t="shared" si="1"/>
        <v>1</v>
      </c>
    </row>
    <row r="28" spans="2:24" x14ac:dyDescent="0.3"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>
        <f t="shared" si="1"/>
        <v>1</v>
      </c>
    </row>
    <row r="29" spans="2:24" x14ac:dyDescent="0.3"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>
        <f t="shared" si="1"/>
        <v>1</v>
      </c>
    </row>
    <row r="30" spans="2:24" x14ac:dyDescent="0.3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>
        <f t="shared" si="1"/>
        <v>1</v>
      </c>
    </row>
    <row r="31" spans="2:24" x14ac:dyDescent="0.3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>
        <f t="shared" si="1"/>
        <v>1</v>
      </c>
    </row>
    <row r="32" spans="2:24" x14ac:dyDescent="0.3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>
        <f t="shared" si="1"/>
        <v>1</v>
      </c>
    </row>
    <row r="33" spans="2:24" x14ac:dyDescent="0.3"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>
        <f t="shared" si="1"/>
        <v>1</v>
      </c>
    </row>
    <row r="34" spans="2:24" x14ac:dyDescent="0.3">
      <c r="B34" s="7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>
        <f t="shared" si="1"/>
        <v>1</v>
      </c>
    </row>
    <row r="35" spans="2:24" x14ac:dyDescent="0.3">
      <c r="B35" s="7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>
        <f t="shared" si="1"/>
        <v>1</v>
      </c>
    </row>
    <row r="36" spans="2:24" x14ac:dyDescent="0.3">
      <c r="B36" s="7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>
        <f t="shared" si="1"/>
        <v>1</v>
      </c>
    </row>
    <row r="37" spans="2:24" x14ac:dyDescent="0.3">
      <c r="B37" s="7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>
        <f t="shared" si="1"/>
        <v>1</v>
      </c>
    </row>
    <row r="38" spans="2:24" x14ac:dyDescent="0.3">
      <c r="B38" s="7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>
        <f t="shared" si="1"/>
        <v>1</v>
      </c>
    </row>
    <row r="39" spans="2:24" x14ac:dyDescent="0.3">
      <c r="B39" s="7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>
        <f t="shared" si="1"/>
        <v>1</v>
      </c>
    </row>
    <row r="40" spans="2:24" x14ac:dyDescent="0.3">
      <c r="B40" s="7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>
        <f t="shared" si="1"/>
        <v>1</v>
      </c>
    </row>
    <row r="41" spans="2:24" x14ac:dyDescent="0.3">
      <c r="B41" s="7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>
        <f t="shared" si="1"/>
        <v>1</v>
      </c>
    </row>
    <row r="42" spans="2:24" x14ac:dyDescent="0.3">
      <c r="B42" s="7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>
        <f t="shared" si="1"/>
        <v>1</v>
      </c>
    </row>
    <row r="43" spans="2:24" x14ac:dyDescent="0.3">
      <c r="B43" s="7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>
        <f t="shared" si="1"/>
        <v>1</v>
      </c>
    </row>
    <row r="44" spans="2:24" x14ac:dyDescent="0.3">
      <c r="B44" s="7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>
        <f t="shared" si="1"/>
        <v>1</v>
      </c>
    </row>
    <row r="45" spans="2:24" x14ac:dyDescent="0.3">
      <c r="B45" s="7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>
        <f t="shared" si="1"/>
        <v>1</v>
      </c>
    </row>
    <row r="46" spans="2:24" x14ac:dyDescent="0.3">
      <c r="B46" s="7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>
        <f t="shared" si="1"/>
        <v>1</v>
      </c>
    </row>
    <row r="47" spans="2:24" x14ac:dyDescent="0.3">
      <c r="B47" s="7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>
        <f t="shared" si="1"/>
        <v>1</v>
      </c>
    </row>
    <row r="48" spans="2:24" x14ac:dyDescent="0.3">
      <c r="B48" s="7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>
        <f t="shared" si="1"/>
        <v>1</v>
      </c>
    </row>
    <row r="49" spans="2:24" x14ac:dyDescent="0.3">
      <c r="B49" s="7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>
        <f t="shared" si="1"/>
        <v>1</v>
      </c>
    </row>
    <row r="50" spans="2:24" x14ac:dyDescent="0.3">
      <c r="B50" s="7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>
        <f t="shared" si="1"/>
        <v>1</v>
      </c>
    </row>
    <row r="51" spans="2:24" x14ac:dyDescent="0.3">
      <c r="B51" s="7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>
        <f t="shared" si="1"/>
        <v>1</v>
      </c>
    </row>
    <row r="52" spans="2:24" x14ac:dyDescent="0.3">
      <c r="B52" s="7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>
        <f t="shared" si="1"/>
        <v>1</v>
      </c>
    </row>
    <row r="53" spans="2:24" x14ac:dyDescent="0.3">
      <c r="B53" s="7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>
        <f t="shared" si="1"/>
        <v>1</v>
      </c>
    </row>
    <row r="54" spans="2:24" x14ac:dyDescent="0.3">
      <c r="B54" s="7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>
        <f t="shared" si="1"/>
        <v>1</v>
      </c>
    </row>
    <row r="55" spans="2:24" x14ac:dyDescent="0.3">
      <c r="B55" s="7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>
        <f t="shared" si="1"/>
        <v>1</v>
      </c>
    </row>
    <row r="56" spans="2:24" x14ac:dyDescent="0.3">
      <c r="B56" s="7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>
        <f t="shared" si="1"/>
        <v>1</v>
      </c>
    </row>
    <row r="57" spans="2:24" x14ac:dyDescent="0.3">
      <c r="B57" s="7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>
        <f t="shared" si="1"/>
        <v>1</v>
      </c>
    </row>
    <row r="58" spans="2:24" x14ac:dyDescent="0.3">
      <c r="B58" s="7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>
        <f t="shared" si="1"/>
        <v>1</v>
      </c>
    </row>
    <row r="59" spans="2:24" x14ac:dyDescent="0.3">
      <c r="B59" s="7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>
        <f t="shared" si="1"/>
        <v>1</v>
      </c>
    </row>
    <row r="60" spans="2:24" x14ac:dyDescent="0.3">
      <c r="B60" s="7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>
        <f t="shared" si="1"/>
        <v>1</v>
      </c>
    </row>
    <row r="61" spans="2:24" x14ac:dyDescent="0.3">
      <c r="B61" s="7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>
        <f t="shared" si="1"/>
        <v>1</v>
      </c>
    </row>
    <row r="62" spans="2:24" x14ac:dyDescent="0.3">
      <c r="B62" s="7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>
        <f t="shared" si="1"/>
        <v>1</v>
      </c>
    </row>
    <row r="63" spans="2:24" x14ac:dyDescent="0.3">
      <c r="B63" s="7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>
        <f t="shared" si="1"/>
        <v>1</v>
      </c>
    </row>
    <row r="64" spans="2:24" x14ac:dyDescent="0.3">
      <c r="B64" s="7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>
        <f t="shared" si="1"/>
        <v>1</v>
      </c>
    </row>
    <row r="65" spans="2:24" x14ac:dyDescent="0.3">
      <c r="B65" s="7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>
        <f t="shared" si="1"/>
        <v>1</v>
      </c>
    </row>
    <row r="66" spans="2:24" x14ac:dyDescent="0.3">
      <c r="B66" s="7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>
        <f t="shared" si="1"/>
        <v>1</v>
      </c>
    </row>
    <row r="67" spans="2:24" x14ac:dyDescent="0.3">
      <c r="B67" s="7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>
        <f t="shared" si="1"/>
        <v>1</v>
      </c>
    </row>
    <row r="68" spans="2:24" x14ac:dyDescent="0.3">
      <c r="B68" s="7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>
        <f t="shared" si="1"/>
        <v>1</v>
      </c>
    </row>
    <row r="69" spans="2:24" x14ac:dyDescent="0.3">
      <c r="B69" s="7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>
        <f t="shared" si="1"/>
        <v>1</v>
      </c>
    </row>
    <row r="70" spans="2:24" x14ac:dyDescent="0.3">
      <c r="B70" s="7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>
        <f t="shared" si="1"/>
        <v>1</v>
      </c>
    </row>
    <row r="71" spans="2:24" x14ac:dyDescent="0.3">
      <c r="B71" s="7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>
        <f t="shared" si="1"/>
        <v>1</v>
      </c>
    </row>
    <row r="72" spans="2:24" x14ac:dyDescent="0.3">
      <c r="B72" s="7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>
        <f t="shared" si="1"/>
        <v>1</v>
      </c>
    </row>
    <row r="73" spans="2:24" x14ac:dyDescent="0.3">
      <c r="B73" s="7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>
        <f t="shared" si="1"/>
        <v>1</v>
      </c>
    </row>
    <row r="74" spans="2:24" x14ac:dyDescent="0.3">
      <c r="B74" s="7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>
        <f t="shared" si="1"/>
        <v>1</v>
      </c>
    </row>
    <row r="75" spans="2:24" x14ac:dyDescent="0.3">
      <c r="B75" s="7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>
        <f t="shared" si="1"/>
        <v>1</v>
      </c>
    </row>
    <row r="76" spans="2:24" x14ac:dyDescent="0.3">
      <c r="B76" s="7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>
        <f t="shared" si="1"/>
        <v>1</v>
      </c>
    </row>
    <row r="77" spans="2:24" x14ac:dyDescent="0.3">
      <c r="B77" s="7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>
        <f t="shared" si="1"/>
        <v>1</v>
      </c>
    </row>
    <row r="78" spans="2:24" x14ac:dyDescent="0.3">
      <c r="B78" s="7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>
        <f t="shared" si="1"/>
        <v>1</v>
      </c>
    </row>
    <row r="79" spans="2:24" x14ac:dyDescent="0.3">
      <c r="B79" s="7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>
        <f t="shared" si="1"/>
        <v>1</v>
      </c>
    </row>
    <row r="80" spans="2:24" x14ac:dyDescent="0.3">
      <c r="B80" s="7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>
        <f t="shared" si="1"/>
        <v>1</v>
      </c>
    </row>
    <row r="81" spans="2:24" x14ac:dyDescent="0.3">
      <c r="B81" s="7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>
        <f t="shared" si="1"/>
        <v>1</v>
      </c>
    </row>
    <row r="82" spans="2:24" x14ac:dyDescent="0.3">
      <c r="B82" s="7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>
        <f t="shared" si="1"/>
        <v>1</v>
      </c>
    </row>
    <row r="83" spans="2:24" x14ac:dyDescent="0.3">
      <c r="B83" s="7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>
        <f t="shared" si="1"/>
        <v>1</v>
      </c>
    </row>
    <row r="84" spans="2:24" x14ac:dyDescent="0.3">
      <c r="B84" s="7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>
        <f t="shared" si="1"/>
        <v>1</v>
      </c>
    </row>
    <row r="85" spans="2:24" x14ac:dyDescent="0.3">
      <c r="B85" s="7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>
        <f t="shared" si="1"/>
        <v>1</v>
      </c>
    </row>
    <row r="86" spans="2:24" x14ac:dyDescent="0.3">
      <c r="B86" s="7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>
        <f t="shared" ref="X86:X149" si="2">IF(SUM(C86:W86)&lt;=5,1,0)</f>
        <v>1</v>
      </c>
    </row>
    <row r="87" spans="2:24" x14ac:dyDescent="0.3">
      <c r="B87" s="7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>
        <f t="shared" si="2"/>
        <v>1</v>
      </c>
    </row>
    <row r="88" spans="2:24" x14ac:dyDescent="0.3">
      <c r="B88" s="7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>
        <f t="shared" si="2"/>
        <v>1</v>
      </c>
    </row>
    <row r="89" spans="2:24" x14ac:dyDescent="0.3">
      <c r="B89" s="7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>
        <f t="shared" si="2"/>
        <v>1</v>
      </c>
    </row>
    <row r="90" spans="2:24" x14ac:dyDescent="0.3">
      <c r="B90" s="7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>
        <f t="shared" si="2"/>
        <v>1</v>
      </c>
    </row>
    <row r="91" spans="2:24" x14ac:dyDescent="0.3">
      <c r="B91" s="7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>
        <f t="shared" si="2"/>
        <v>1</v>
      </c>
    </row>
    <row r="92" spans="2:24" x14ac:dyDescent="0.3">
      <c r="B92" s="7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>
        <f t="shared" si="2"/>
        <v>1</v>
      </c>
    </row>
    <row r="93" spans="2:24" x14ac:dyDescent="0.3">
      <c r="X93">
        <f t="shared" si="2"/>
        <v>1</v>
      </c>
    </row>
    <row r="94" spans="2:24" x14ac:dyDescent="0.3">
      <c r="X94">
        <f t="shared" si="2"/>
        <v>1</v>
      </c>
    </row>
    <row r="95" spans="2:24" x14ac:dyDescent="0.3">
      <c r="X95">
        <f t="shared" si="2"/>
        <v>1</v>
      </c>
    </row>
    <row r="96" spans="2:24" x14ac:dyDescent="0.3">
      <c r="X96">
        <f t="shared" si="2"/>
        <v>1</v>
      </c>
    </row>
    <row r="97" spans="24:24" x14ac:dyDescent="0.3">
      <c r="X97">
        <f t="shared" si="2"/>
        <v>1</v>
      </c>
    </row>
    <row r="98" spans="24:24" x14ac:dyDescent="0.3">
      <c r="X98">
        <f t="shared" si="2"/>
        <v>1</v>
      </c>
    </row>
    <row r="99" spans="24:24" x14ac:dyDescent="0.3">
      <c r="X99">
        <f t="shared" si="2"/>
        <v>1</v>
      </c>
    </row>
    <row r="100" spans="24:24" x14ac:dyDescent="0.3">
      <c r="X100">
        <f t="shared" si="2"/>
        <v>1</v>
      </c>
    </row>
    <row r="101" spans="24:24" x14ac:dyDescent="0.3">
      <c r="X101">
        <f t="shared" si="2"/>
        <v>1</v>
      </c>
    </row>
    <row r="102" spans="24:24" x14ac:dyDescent="0.3">
      <c r="X102">
        <f t="shared" si="2"/>
        <v>1</v>
      </c>
    </row>
    <row r="103" spans="24:24" x14ac:dyDescent="0.3">
      <c r="X103">
        <f t="shared" si="2"/>
        <v>1</v>
      </c>
    </row>
    <row r="104" spans="24:24" x14ac:dyDescent="0.3">
      <c r="X104">
        <f t="shared" si="2"/>
        <v>1</v>
      </c>
    </row>
    <row r="105" spans="24:24" x14ac:dyDescent="0.3">
      <c r="X105">
        <f t="shared" si="2"/>
        <v>1</v>
      </c>
    </row>
    <row r="106" spans="24:24" x14ac:dyDescent="0.3">
      <c r="X106">
        <f t="shared" si="2"/>
        <v>1</v>
      </c>
    </row>
    <row r="107" spans="24:24" x14ac:dyDescent="0.3">
      <c r="X107">
        <f t="shared" si="2"/>
        <v>1</v>
      </c>
    </row>
    <row r="108" spans="24:24" x14ac:dyDescent="0.3">
      <c r="X108">
        <f t="shared" si="2"/>
        <v>1</v>
      </c>
    </row>
    <row r="109" spans="24:24" x14ac:dyDescent="0.3">
      <c r="X109">
        <f t="shared" si="2"/>
        <v>1</v>
      </c>
    </row>
    <row r="110" spans="24:24" x14ac:dyDescent="0.3">
      <c r="X110">
        <f t="shared" si="2"/>
        <v>1</v>
      </c>
    </row>
    <row r="111" spans="24:24" x14ac:dyDescent="0.3">
      <c r="X111">
        <f t="shared" si="2"/>
        <v>1</v>
      </c>
    </row>
    <row r="112" spans="24:24" x14ac:dyDescent="0.3">
      <c r="X112">
        <f t="shared" si="2"/>
        <v>1</v>
      </c>
    </row>
    <row r="113" spans="24:24" x14ac:dyDescent="0.3">
      <c r="X113">
        <f t="shared" si="2"/>
        <v>1</v>
      </c>
    </row>
    <row r="114" spans="24:24" x14ac:dyDescent="0.3">
      <c r="X114">
        <f t="shared" si="2"/>
        <v>1</v>
      </c>
    </row>
    <row r="115" spans="24:24" x14ac:dyDescent="0.3">
      <c r="X115">
        <f t="shared" si="2"/>
        <v>1</v>
      </c>
    </row>
    <row r="116" spans="24:24" x14ac:dyDescent="0.3">
      <c r="X116">
        <f t="shared" si="2"/>
        <v>1</v>
      </c>
    </row>
    <row r="117" spans="24:24" x14ac:dyDescent="0.3">
      <c r="X117">
        <f t="shared" si="2"/>
        <v>1</v>
      </c>
    </row>
    <row r="118" spans="24:24" x14ac:dyDescent="0.3">
      <c r="X118">
        <f t="shared" si="2"/>
        <v>1</v>
      </c>
    </row>
    <row r="119" spans="24:24" x14ac:dyDescent="0.3">
      <c r="X119">
        <f t="shared" si="2"/>
        <v>1</v>
      </c>
    </row>
    <row r="120" spans="24:24" x14ac:dyDescent="0.3">
      <c r="X120">
        <f t="shared" si="2"/>
        <v>1</v>
      </c>
    </row>
    <row r="121" spans="24:24" x14ac:dyDescent="0.3">
      <c r="X121">
        <f t="shared" si="2"/>
        <v>1</v>
      </c>
    </row>
    <row r="122" spans="24:24" x14ac:dyDescent="0.3">
      <c r="X122">
        <f t="shared" si="2"/>
        <v>1</v>
      </c>
    </row>
    <row r="123" spans="24:24" x14ac:dyDescent="0.3">
      <c r="X123">
        <f t="shared" si="2"/>
        <v>1</v>
      </c>
    </row>
    <row r="124" spans="24:24" x14ac:dyDescent="0.3">
      <c r="X124">
        <f t="shared" si="2"/>
        <v>1</v>
      </c>
    </row>
    <row r="125" spans="24:24" x14ac:dyDescent="0.3">
      <c r="X125">
        <f t="shared" si="2"/>
        <v>1</v>
      </c>
    </row>
    <row r="126" spans="24:24" x14ac:dyDescent="0.3">
      <c r="X126">
        <f t="shared" si="2"/>
        <v>1</v>
      </c>
    </row>
    <row r="127" spans="24:24" x14ac:dyDescent="0.3">
      <c r="X127">
        <f t="shared" si="2"/>
        <v>1</v>
      </c>
    </row>
    <row r="128" spans="24:24" x14ac:dyDescent="0.3">
      <c r="X128">
        <f t="shared" si="2"/>
        <v>1</v>
      </c>
    </row>
    <row r="129" spans="24:24" x14ac:dyDescent="0.3">
      <c r="X129">
        <f t="shared" si="2"/>
        <v>1</v>
      </c>
    </row>
    <row r="130" spans="24:24" x14ac:dyDescent="0.3">
      <c r="X130">
        <f t="shared" si="2"/>
        <v>1</v>
      </c>
    </row>
    <row r="131" spans="24:24" x14ac:dyDescent="0.3">
      <c r="X131">
        <f t="shared" si="2"/>
        <v>1</v>
      </c>
    </row>
    <row r="132" spans="24:24" x14ac:dyDescent="0.3">
      <c r="X132">
        <f t="shared" si="2"/>
        <v>1</v>
      </c>
    </row>
    <row r="133" spans="24:24" x14ac:dyDescent="0.3">
      <c r="X133">
        <f t="shared" si="2"/>
        <v>1</v>
      </c>
    </row>
    <row r="134" spans="24:24" x14ac:dyDescent="0.3">
      <c r="X134">
        <f t="shared" si="2"/>
        <v>1</v>
      </c>
    </row>
    <row r="135" spans="24:24" x14ac:dyDescent="0.3">
      <c r="X135">
        <f t="shared" si="2"/>
        <v>1</v>
      </c>
    </row>
    <row r="136" spans="24:24" x14ac:dyDescent="0.3">
      <c r="X136">
        <f t="shared" si="2"/>
        <v>1</v>
      </c>
    </row>
    <row r="137" spans="24:24" x14ac:dyDescent="0.3">
      <c r="X137">
        <f t="shared" si="2"/>
        <v>1</v>
      </c>
    </row>
    <row r="138" spans="24:24" x14ac:dyDescent="0.3">
      <c r="X138">
        <f t="shared" si="2"/>
        <v>1</v>
      </c>
    </row>
    <row r="139" spans="24:24" x14ac:dyDescent="0.3">
      <c r="X139">
        <f t="shared" si="2"/>
        <v>1</v>
      </c>
    </row>
    <row r="140" spans="24:24" x14ac:dyDescent="0.3">
      <c r="X140">
        <f t="shared" si="2"/>
        <v>1</v>
      </c>
    </row>
    <row r="141" spans="24:24" x14ac:dyDescent="0.3">
      <c r="X141">
        <f t="shared" si="2"/>
        <v>1</v>
      </c>
    </row>
    <row r="142" spans="24:24" x14ac:dyDescent="0.3">
      <c r="X142">
        <f t="shared" si="2"/>
        <v>1</v>
      </c>
    </row>
    <row r="143" spans="24:24" x14ac:dyDescent="0.3">
      <c r="X143">
        <f t="shared" si="2"/>
        <v>1</v>
      </c>
    </row>
    <row r="144" spans="24:24" x14ac:dyDescent="0.3">
      <c r="X144">
        <f t="shared" si="2"/>
        <v>1</v>
      </c>
    </row>
    <row r="145" spans="24:24" x14ac:dyDescent="0.3">
      <c r="X145">
        <f t="shared" si="2"/>
        <v>1</v>
      </c>
    </row>
    <row r="146" spans="24:24" x14ac:dyDescent="0.3">
      <c r="X146">
        <f t="shared" si="2"/>
        <v>1</v>
      </c>
    </row>
    <row r="147" spans="24:24" x14ac:dyDescent="0.3">
      <c r="X147">
        <f t="shared" si="2"/>
        <v>1</v>
      </c>
    </row>
    <row r="148" spans="24:24" x14ac:dyDescent="0.3">
      <c r="X148">
        <f t="shared" si="2"/>
        <v>1</v>
      </c>
    </row>
    <row r="149" spans="24:24" x14ac:dyDescent="0.3">
      <c r="X149">
        <f t="shared" si="2"/>
        <v>1</v>
      </c>
    </row>
    <row r="150" spans="24:24" x14ac:dyDescent="0.3">
      <c r="X150">
        <f t="shared" ref="X150:X213" si="3">IF(SUM(C150:W150)&lt;=5,1,0)</f>
        <v>1</v>
      </c>
    </row>
    <row r="151" spans="24:24" x14ac:dyDescent="0.3">
      <c r="X151">
        <f t="shared" si="3"/>
        <v>1</v>
      </c>
    </row>
    <row r="152" spans="24:24" x14ac:dyDescent="0.3">
      <c r="X152">
        <f t="shared" si="3"/>
        <v>1</v>
      </c>
    </row>
    <row r="153" spans="24:24" x14ac:dyDescent="0.3">
      <c r="X153">
        <f t="shared" si="3"/>
        <v>1</v>
      </c>
    </row>
    <row r="154" spans="24:24" x14ac:dyDescent="0.3">
      <c r="X154">
        <f t="shared" si="3"/>
        <v>1</v>
      </c>
    </row>
    <row r="155" spans="24:24" x14ac:dyDescent="0.3">
      <c r="X155">
        <f t="shared" si="3"/>
        <v>1</v>
      </c>
    </row>
    <row r="156" spans="24:24" x14ac:dyDescent="0.3">
      <c r="X156">
        <f t="shared" si="3"/>
        <v>1</v>
      </c>
    </row>
    <row r="157" spans="24:24" x14ac:dyDescent="0.3">
      <c r="X157">
        <f t="shared" si="3"/>
        <v>1</v>
      </c>
    </row>
    <row r="158" spans="24:24" x14ac:dyDescent="0.3">
      <c r="X158">
        <f t="shared" si="3"/>
        <v>1</v>
      </c>
    </row>
    <row r="159" spans="24:24" x14ac:dyDescent="0.3">
      <c r="X159">
        <f t="shared" si="3"/>
        <v>1</v>
      </c>
    </row>
    <row r="160" spans="24:24" x14ac:dyDescent="0.3">
      <c r="X160">
        <f t="shared" si="3"/>
        <v>1</v>
      </c>
    </row>
    <row r="161" spans="24:24" x14ac:dyDescent="0.3">
      <c r="X161">
        <f t="shared" si="3"/>
        <v>1</v>
      </c>
    </row>
    <row r="162" spans="24:24" x14ac:dyDescent="0.3">
      <c r="X162">
        <f t="shared" si="3"/>
        <v>1</v>
      </c>
    </row>
    <row r="163" spans="24:24" x14ac:dyDescent="0.3">
      <c r="X163">
        <f t="shared" si="3"/>
        <v>1</v>
      </c>
    </row>
    <row r="164" spans="24:24" x14ac:dyDescent="0.3">
      <c r="X164">
        <f t="shared" si="3"/>
        <v>1</v>
      </c>
    </row>
    <row r="165" spans="24:24" x14ac:dyDescent="0.3">
      <c r="X165">
        <f t="shared" si="3"/>
        <v>1</v>
      </c>
    </row>
    <row r="166" spans="24:24" x14ac:dyDescent="0.3">
      <c r="X166">
        <f t="shared" si="3"/>
        <v>1</v>
      </c>
    </row>
    <row r="167" spans="24:24" x14ac:dyDescent="0.3">
      <c r="X167">
        <f t="shared" si="3"/>
        <v>1</v>
      </c>
    </row>
    <row r="168" spans="24:24" x14ac:dyDescent="0.3">
      <c r="X168">
        <f t="shared" si="3"/>
        <v>1</v>
      </c>
    </row>
    <row r="169" spans="24:24" x14ac:dyDescent="0.3">
      <c r="X169">
        <f t="shared" si="3"/>
        <v>1</v>
      </c>
    </row>
    <row r="170" spans="24:24" x14ac:dyDescent="0.3">
      <c r="X170">
        <f t="shared" si="3"/>
        <v>1</v>
      </c>
    </row>
    <row r="171" spans="24:24" x14ac:dyDescent="0.3">
      <c r="X171">
        <f t="shared" si="3"/>
        <v>1</v>
      </c>
    </row>
    <row r="172" spans="24:24" x14ac:dyDescent="0.3">
      <c r="X172">
        <f t="shared" si="3"/>
        <v>1</v>
      </c>
    </row>
    <row r="173" spans="24:24" x14ac:dyDescent="0.3">
      <c r="X173">
        <f t="shared" si="3"/>
        <v>1</v>
      </c>
    </row>
    <row r="174" spans="24:24" x14ac:dyDescent="0.3">
      <c r="X174">
        <f t="shared" si="3"/>
        <v>1</v>
      </c>
    </row>
    <row r="175" spans="24:24" x14ac:dyDescent="0.3">
      <c r="X175">
        <f t="shared" si="3"/>
        <v>1</v>
      </c>
    </row>
    <row r="176" spans="24:24" x14ac:dyDescent="0.3">
      <c r="X176">
        <f t="shared" si="3"/>
        <v>1</v>
      </c>
    </row>
    <row r="177" spans="24:24" x14ac:dyDescent="0.3">
      <c r="X177">
        <f t="shared" si="3"/>
        <v>1</v>
      </c>
    </row>
    <row r="178" spans="24:24" x14ac:dyDescent="0.3">
      <c r="X178">
        <f t="shared" si="3"/>
        <v>1</v>
      </c>
    </row>
    <row r="179" spans="24:24" x14ac:dyDescent="0.3">
      <c r="X179">
        <f t="shared" si="3"/>
        <v>1</v>
      </c>
    </row>
    <row r="180" spans="24:24" x14ac:dyDescent="0.3">
      <c r="X180">
        <f t="shared" si="3"/>
        <v>1</v>
      </c>
    </row>
    <row r="181" spans="24:24" x14ac:dyDescent="0.3">
      <c r="X181">
        <f t="shared" si="3"/>
        <v>1</v>
      </c>
    </row>
    <row r="182" spans="24:24" x14ac:dyDescent="0.3">
      <c r="X182">
        <f t="shared" si="3"/>
        <v>1</v>
      </c>
    </row>
    <row r="183" spans="24:24" x14ac:dyDescent="0.3">
      <c r="X183">
        <f t="shared" si="3"/>
        <v>1</v>
      </c>
    </row>
    <row r="184" spans="24:24" x14ac:dyDescent="0.3">
      <c r="X184">
        <f t="shared" si="3"/>
        <v>1</v>
      </c>
    </row>
    <row r="185" spans="24:24" x14ac:dyDescent="0.3">
      <c r="X185">
        <f t="shared" si="3"/>
        <v>1</v>
      </c>
    </row>
    <row r="186" spans="24:24" x14ac:dyDescent="0.3">
      <c r="X186">
        <f t="shared" si="3"/>
        <v>1</v>
      </c>
    </row>
    <row r="187" spans="24:24" x14ac:dyDescent="0.3">
      <c r="X187">
        <f t="shared" si="3"/>
        <v>1</v>
      </c>
    </row>
    <row r="188" spans="24:24" x14ac:dyDescent="0.3">
      <c r="X188">
        <f t="shared" si="3"/>
        <v>1</v>
      </c>
    </row>
    <row r="189" spans="24:24" x14ac:dyDescent="0.3">
      <c r="X189">
        <f t="shared" si="3"/>
        <v>1</v>
      </c>
    </row>
    <row r="190" spans="24:24" x14ac:dyDescent="0.3">
      <c r="X190">
        <f t="shared" si="3"/>
        <v>1</v>
      </c>
    </row>
    <row r="191" spans="24:24" x14ac:dyDescent="0.3">
      <c r="X191">
        <f t="shared" si="3"/>
        <v>1</v>
      </c>
    </row>
    <row r="192" spans="24:24" x14ac:dyDescent="0.3">
      <c r="X192">
        <f t="shared" si="3"/>
        <v>1</v>
      </c>
    </row>
    <row r="193" spans="24:24" x14ac:dyDescent="0.3">
      <c r="X193">
        <f t="shared" si="3"/>
        <v>1</v>
      </c>
    </row>
    <row r="194" spans="24:24" x14ac:dyDescent="0.3">
      <c r="X194">
        <f t="shared" si="3"/>
        <v>1</v>
      </c>
    </row>
    <row r="195" spans="24:24" x14ac:dyDescent="0.3">
      <c r="X195">
        <f t="shared" si="3"/>
        <v>1</v>
      </c>
    </row>
    <row r="196" spans="24:24" x14ac:dyDescent="0.3">
      <c r="X196">
        <f t="shared" si="3"/>
        <v>1</v>
      </c>
    </row>
    <row r="197" spans="24:24" x14ac:dyDescent="0.3">
      <c r="X197">
        <f t="shared" si="3"/>
        <v>1</v>
      </c>
    </row>
    <row r="198" spans="24:24" x14ac:dyDescent="0.3">
      <c r="X198">
        <f t="shared" si="3"/>
        <v>1</v>
      </c>
    </row>
    <row r="199" spans="24:24" x14ac:dyDescent="0.3">
      <c r="X199">
        <f t="shared" si="3"/>
        <v>1</v>
      </c>
    </row>
    <row r="200" spans="24:24" x14ac:dyDescent="0.3">
      <c r="X200">
        <f t="shared" si="3"/>
        <v>1</v>
      </c>
    </row>
    <row r="201" spans="24:24" x14ac:dyDescent="0.3">
      <c r="X201">
        <f t="shared" si="3"/>
        <v>1</v>
      </c>
    </row>
    <row r="202" spans="24:24" x14ac:dyDescent="0.3">
      <c r="X202">
        <f t="shared" si="3"/>
        <v>1</v>
      </c>
    </row>
    <row r="203" spans="24:24" x14ac:dyDescent="0.3">
      <c r="X203">
        <f t="shared" si="3"/>
        <v>1</v>
      </c>
    </row>
    <row r="204" spans="24:24" x14ac:dyDescent="0.3">
      <c r="X204">
        <f t="shared" si="3"/>
        <v>1</v>
      </c>
    </row>
    <row r="205" spans="24:24" x14ac:dyDescent="0.3">
      <c r="X205">
        <f t="shared" si="3"/>
        <v>1</v>
      </c>
    </row>
    <row r="206" spans="24:24" x14ac:dyDescent="0.3">
      <c r="X206">
        <f t="shared" si="3"/>
        <v>1</v>
      </c>
    </row>
    <row r="207" spans="24:24" x14ac:dyDescent="0.3">
      <c r="X207">
        <f t="shared" si="3"/>
        <v>1</v>
      </c>
    </row>
    <row r="208" spans="24:24" x14ac:dyDescent="0.3">
      <c r="X208">
        <f t="shared" si="3"/>
        <v>1</v>
      </c>
    </row>
    <row r="209" spans="24:24" x14ac:dyDescent="0.3">
      <c r="X209">
        <f t="shared" si="3"/>
        <v>1</v>
      </c>
    </row>
    <row r="210" spans="24:24" x14ac:dyDescent="0.3">
      <c r="X210">
        <f t="shared" si="3"/>
        <v>1</v>
      </c>
    </row>
    <row r="211" spans="24:24" x14ac:dyDescent="0.3">
      <c r="X211">
        <f t="shared" si="3"/>
        <v>1</v>
      </c>
    </row>
    <row r="212" spans="24:24" x14ac:dyDescent="0.3">
      <c r="X212">
        <f t="shared" si="3"/>
        <v>1</v>
      </c>
    </row>
    <row r="213" spans="24:24" x14ac:dyDescent="0.3">
      <c r="X213">
        <f t="shared" si="3"/>
        <v>1</v>
      </c>
    </row>
    <row r="214" spans="24:24" x14ac:dyDescent="0.3">
      <c r="X214">
        <f t="shared" ref="X214:X277" si="4">IF(SUM(C214:W214)&lt;=5,1,0)</f>
        <v>1</v>
      </c>
    </row>
    <row r="215" spans="24:24" x14ac:dyDescent="0.3">
      <c r="X215">
        <f t="shared" si="4"/>
        <v>1</v>
      </c>
    </row>
    <row r="216" spans="24:24" x14ac:dyDescent="0.3">
      <c r="X216">
        <f t="shared" si="4"/>
        <v>1</v>
      </c>
    </row>
    <row r="217" spans="24:24" x14ac:dyDescent="0.3">
      <c r="X217">
        <f t="shared" si="4"/>
        <v>1</v>
      </c>
    </row>
    <row r="218" spans="24:24" x14ac:dyDescent="0.3">
      <c r="X218">
        <f t="shared" si="4"/>
        <v>1</v>
      </c>
    </row>
    <row r="219" spans="24:24" x14ac:dyDescent="0.3">
      <c r="X219">
        <f t="shared" si="4"/>
        <v>1</v>
      </c>
    </row>
    <row r="220" spans="24:24" x14ac:dyDescent="0.3">
      <c r="X220">
        <f t="shared" si="4"/>
        <v>1</v>
      </c>
    </row>
    <row r="221" spans="24:24" x14ac:dyDescent="0.3">
      <c r="X221">
        <f t="shared" si="4"/>
        <v>1</v>
      </c>
    </row>
    <row r="222" spans="24:24" x14ac:dyDescent="0.3">
      <c r="X222">
        <f t="shared" si="4"/>
        <v>1</v>
      </c>
    </row>
    <row r="223" spans="24:24" x14ac:dyDescent="0.3">
      <c r="X223">
        <f t="shared" si="4"/>
        <v>1</v>
      </c>
    </row>
    <row r="224" spans="24:24" x14ac:dyDescent="0.3">
      <c r="X224">
        <f t="shared" si="4"/>
        <v>1</v>
      </c>
    </row>
    <row r="225" spans="24:24" x14ac:dyDescent="0.3">
      <c r="X225">
        <f t="shared" si="4"/>
        <v>1</v>
      </c>
    </row>
    <row r="226" spans="24:24" x14ac:dyDescent="0.3">
      <c r="X226">
        <f t="shared" si="4"/>
        <v>1</v>
      </c>
    </row>
    <row r="227" spans="24:24" x14ac:dyDescent="0.3">
      <c r="X227">
        <f t="shared" si="4"/>
        <v>1</v>
      </c>
    </row>
    <row r="228" spans="24:24" x14ac:dyDescent="0.3">
      <c r="X228">
        <f t="shared" si="4"/>
        <v>1</v>
      </c>
    </row>
    <row r="229" spans="24:24" x14ac:dyDescent="0.3">
      <c r="X229">
        <f t="shared" si="4"/>
        <v>1</v>
      </c>
    </row>
    <row r="230" spans="24:24" x14ac:dyDescent="0.3">
      <c r="X230">
        <f t="shared" si="4"/>
        <v>1</v>
      </c>
    </row>
    <row r="231" spans="24:24" x14ac:dyDescent="0.3">
      <c r="X231">
        <f t="shared" si="4"/>
        <v>1</v>
      </c>
    </row>
    <row r="232" spans="24:24" x14ac:dyDescent="0.3">
      <c r="X232">
        <f t="shared" si="4"/>
        <v>1</v>
      </c>
    </row>
    <row r="233" spans="24:24" x14ac:dyDescent="0.3">
      <c r="X233">
        <f t="shared" si="4"/>
        <v>1</v>
      </c>
    </row>
    <row r="234" spans="24:24" x14ac:dyDescent="0.3">
      <c r="X234">
        <f t="shared" si="4"/>
        <v>1</v>
      </c>
    </row>
    <row r="235" spans="24:24" x14ac:dyDescent="0.3">
      <c r="X235">
        <f t="shared" si="4"/>
        <v>1</v>
      </c>
    </row>
    <row r="236" spans="24:24" x14ac:dyDescent="0.3">
      <c r="X236">
        <f t="shared" si="4"/>
        <v>1</v>
      </c>
    </row>
    <row r="237" spans="24:24" x14ac:dyDescent="0.3">
      <c r="X237">
        <f t="shared" si="4"/>
        <v>1</v>
      </c>
    </row>
    <row r="238" spans="24:24" x14ac:dyDescent="0.3">
      <c r="X238">
        <f t="shared" si="4"/>
        <v>1</v>
      </c>
    </row>
    <row r="239" spans="24:24" x14ac:dyDescent="0.3">
      <c r="X239">
        <f t="shared" si="4"/>
        <v>1</v>
      </c>
    </row>
    <row r="240" spans="24:24" x14ac:dyDescent="0.3">
      <c r="X240">
        <f t="shared" si="4"/>
        <v>1</v>
      </c>
    </row>
    <row r="241" spans="24:24" x14ac:dyDescent="0.3">
      <c r="X241">
        <f t="shared" si="4"/>
        <v>1</v>
      </c>
    </row>
    <row r="242" spans="24:24" x14ac:dyDescent="0.3">
      <c r="X242">
        <f t="shared" si="4"/>
        <v>1</v>
      </c>
    </row>
    <row r="243" spans="24:24" x14ac:dyDescent="0.3">
      <c r="X243">
        <f t="shared" si="4"/>
        <v>1</v>
      </c>
    </row>
    <row r="244" spans="24:24" x14ac:dyDescent="0.3">
      <c r="X244">
        <f t="shared" si="4"/>
        <v>1</v>
      </c>
    </row>
    <row r="245" spans="24:24" x14ac:dyDescent="0.3">
      <c r="X245">
        <f t="shared" si="4"/>
        <v>1</v>
      </c>
    </row>
    <row r="246" spans="24:24" x14ac:dyDescent="0.3">
      <c r="X246">
        <f t="shared" si="4"/>
        <v>1</v>
      </c>
    </row>
    <row r="247" spans="24:24" x14ac:dyDescent="0.3">
      <c r="X247">
        <f t="shared" si="4"/>
        <v>1</v>
      </c>
    </row>
    <row r="248" spans="24:24" x14ac:dyDescent="0.3">
      <c r="X248">
        <f t="shared" si="4"/>
        <v>1</v>
      </c>
    </row>
    <row r="249" spans="24:24" x14ac:dyDescent="0.3">
      <c r="X249">
        <f t="shared" si="4"/>
        <v>1</v>
      </c>
    </row>
    <row r="250" spans="24:24" x14ac:dyDescent="0.3">
      <c r="X250">
        <f t="shared" si="4"/>
        <v>1</v>
      </c>
    </row>
    <row r="251" spans="24:24" x14ac:dyDescent="0.3">
      <c r="X251">
        <f t="shared" si="4"/>
        <v>1</v>
      </c>
    </row>
    <row r="252" spans="24:24" x14ac:dyDescent="0.3">
      <c r="X252">
        <f t="shared" si="4"/>
        <v>1</v>
      </c>
    </row>
    <row r="253" spans="24:24" x14ac:dyDescent="0.3">
      <c r="X253">
        <f t="shared" si="4"/>
        <v>1</v>
      </c>
    </row>
    <row r="254" spans="24:24" x14ac:dyDescent="0.3">
      <c r="X254">
        <f t="shared" si="4"/>
        <v>1</v>
      </c>
    </row>
    <row r="255" spans="24:24" x14ac:dyDescent="0.3">
      <c r="X255">
        <f t="shared" si="4"/>
        <v>1</v>
      </c>
    </row>
    <row r="256" spans="24:24" x14ac:dyDescent="0.3">
      <c r="X256">
        <f t="shared" si="4"/>
        <v>1</v>
      </c>
    </row>
    <row r="257" spans="24:24" x14ac:dyDescent="0.3">
      <c r="X257">
        <f t="shared" si="4"/>
        <v>1</v>
      </c>
    </row>
    <row r="258" spans="24:24" x14ac:dyDescent="0.3">
      <c r="X258">
        <f t="shared" si="4"/>
        <v>1</v>
      </c>
    </row>
    <row r="259" spans="24:24" x14ac:dyDescent="0.3">
      <c r="X259">
        <f t="shared" si="4"/>
        <v>1</v>
      </c>
    </row>
    <row r="260" spans="24:24" x14ac:dyDescent="0.3">
      <c r="X260">
        <f t="shared" si="4"/>
        <v>1</v>
      </c>
    </row>
    <row r="261" spans="24:24" x14ac:dyDescent="0.3">
      <c r="X261">
        <f t="shared" si="4"/>
        <v>1</v>
      </c>
    </row>
    <row r="262" spans="24:24" x14ac:dyDescent="0.3">
      <c r="X262">
        <f t="shared" si="4"/>
        <v>1</v>
      </c>
    </row>
    <row r="263" spans="24:24" x14ac:dyDescent="0.3">
      <c r="X263">
        <f t="shared" si="4"/>
        <v>1</v>
      </c>
    </row>
    <row r="264" spans="24:24" x14ac:dyDescent="0.3">
      <c r="X264">
        <f t="shared" si="4"/>
        <v>1</v>
      </c>
    </row>
    <row r="265" spans="24:24" x14ac:dyDescent="0.3">
      <c r="X265">
        <f t="shared" si="4"/>
        <v>1</v>
      </c>
    </row>
    <row r="266" spans="24:24" x14ac:dyDescent="0.3">
      <c r="X266">
        <f t="shared" si="4"/>
        <v>1</v>
      </c>
    </row>
    <row r="267" spans="24:24" x14ac:dyDescent="0.3">
      <c r="X267">
        <f t="shared" si="4"/>
        <v>1</v>
      </c>
    </row>
    <row r="268" spans="24:24" x14ac:dyDescent="0.3">
      <c r="X268">
        <f t="shared" si="4"/>
        <v>1</v>
      </c>
    </row>
    <row r="269" spans="24:24" x14ac:dyDescent="0.3">
      <c r="X269">
        <f t="shared" si="4"/>
        <v>1</v>
      </c>
    </row>
    <row r="270" spans="24:24" x14ac:dyDescent="0.3">
      <c r="X270">
        <f t="shared" si="4"/>
        <v>1</v>
      </c>
    </row>
    <row r="271" spans="24:24" x14ac:dyDescent="0.3">
      <c r="X271">
        <f t="shared" si="4"/>
        <v>1</v>
      </c>
    </row>
    <row r="272" spans="24:24" x14ac:dyDescent="0.3">
      <c r="X272">
        <f t="shared" si="4"/>
        <v>1</v>
      </c>
    </row>
    <row r="273" spans="24:24" x14ac:dyDescent="0.3">
      <c r="X273">
        <f t="shared" si="4"/>
        <v>1</v>
      </c>
    </row>
    <row r="274" spans="24:24" x14ac:dyDescent="0.3">
      <c r="X274">
        <f t="shared" si="4"/>
        <v>1</v>
      </c>
    </row>
    <row r="275" spans="24:24" x14ac:dyDescent="0.3">
      <c r="X275">
        <f t="shared" si="4"/>
        <v>1</v>
      </c>
    </row>
    <row r="276" spans="24:24" x14ac:dyDescent="0.3">
      <c r="X276">
        <f t="shared" si="4"/>
        <v>1</v>
      </c>
    </row>
    <row r="277" spans="24:24" x14ac:dyDescent="0.3">
      <c r="X277">
        <f t="shared" si="4"/>
        <v>1</v>
      </c>
    </row>
    <row r="278" spans="24:24" x14ac:dyDescent="0.3">
      <c r="X278">
        <f t="shared" ref="X278:X341" si="5">IF(SUM(C278:W278)&lt;=5,1,0)</f>
        <v>1</v>
      </c>
    </row>
    <row r="279" spans="24:24" x14ac:dyDescent="0.3">
      <c r="X279">
        <f t="shared" si="5"/>
        <v>1</v>
      </c>
    </row>
    <row r="280" spans="24:24" x14ac:dyDescent="0.3">
      <c r="X280">
        <f t="shared" si="5"/>
        <v>1</v>
      </c>
    </row>
    <row r="281" spans="24:24" x14ac:dyDescent="0.3">
      <c r="X281">
        <f t="shared" si="5"/>
        <v>1</v>
      </c>
    </row>
    <row r="282" spans="24:24" x14ac:dyDescent="0.3">
      <c r="X282">
        <f t="shared" si="5"/>
        <v>1</v>
      </c>
    </row>
    <row r="283" spans="24:24" x14ac:dyDescent="0.3">
      <c r="X283">
        <f t="shared" si="5"/>
        <v>1</v>
      </c>
    </row>
    <row r="284" spans="24:24" x14ac:dyDescent="0.3">
      <c r="X284">
        <f t="shared" si="5"/>
        <v>1</v>
      </c>
    </row>
    <row r="285" spans="24:24" x14ac:dyDescent="0.3">
      <c r="X285">
        <f t="shared" si="5"/>
        <v>1</v>
      </c>
    </row>
    <row r="286" spans="24:24" x14ac:dyDescent="0.3">
      <c r="X286">
        <f t="shared" si="5"/>
        <v>1</v>
      </c>
    </row>
    <row r="287" spans="24:24" x14ac:dyDescent="0.3">
      <c r="X287">
        <f t="shared" si="5"/>
        <v>1</v>
      </c>
    </row>
    <row r="288" spans="24:24" x14ac:dyDescent="0.3">
      <c r="X288">
        <f t="shared" si="5"/>
        <v>1</v>
      </c>
    </row>
    <row r="289" spans="24:24" x14ac:dyDescent="0.3">
      <c r="X289">
        <f t="shared" si="5"/>
        <v>1</v>
      </c>
    </row>
    <row r="290" spans="24:24" x14ac:dyDescent="0.3">
      <c r="X290">
        <f t="shared" si="5"/>
        <v>1</v>
      </c>
    </row>
    <row r="291" spans="24:24" x14ac:dyDescent="0.3">
      <c r="X291">
        <f t="shared" si="5"/>
        <v>1</v>
      </c>
    </row>
    <row r="292" spans="24:24" x14ac:dyDescent="0.3">
      <c r="X292">
        <f t="shared" si="5"/>
        <v>1</v>
      </c>
    </row>
    <row r="293" spans="24:24" x14ac:dyDescent="0.3">
      <c r="X293">
        <f t="shared" si="5"/>
        <v>1</v>
      </c>
    </row>
    <row r="294" spans="24:24" x14ac:dyDescent="0.3">
      <c r="X294">
        <f t="shared" si="5"/>
        <v>1</v>
      </c>
    </row>
    <row r="295" spans="24:24" x14ac:dyDescent="0.3">
      <c r="X295">
        <f t="shared" si="5"/>
        <v>1</v>
      </c>
    </row>
    <row r="296" spans="24:24" x14ac:dyDescent="0.3">
      <c r="X296">
        <f t="shared" si="5"/>
        <v>1</v>
      </c>
    </row>
    <row r="297" spans="24:24" x14ac:dyDescent="0.3">
      <c r="X297">
        <f t="shared" si="5"/>
        <v>1</v>
      </c>
    </row>
    <row r="298" spans="24:24" x14ac:dyDescent="0.3">
      <c r="X298">
        <f t="shared" si="5"/>
        <v>1</v>
      </c>
    </row>
    <row r="299" spans="24:24" x14ac:dyDescent="0.3">
      <c r="X299">
        <f t="shared" si="5"/>
        <v>1</v>
      </c>
    </row>
    <row r="300" spans="24:24" x14ac:dyDescent="0.3">
      <c r="X300">
        <f t="shared" si="5"/>
        <v>1</v>
      </c>
    </row>
    <row r="301" spans="24:24" x14ac:dyDescent="0.3">
      <c r="X301">
        <f t="shared" si="5"/>
        <v>1</v>
      </c>
    </row>
    <row r="302" spans="24:24" x14ac:dyDescent="0.3">
      <c r="X302">
        <f t="shared" si="5"/>
        <v>1</v>
      </c>
    </row>
    <row r="303" spans="24:24" x14ac:dyDescent="0.3">
      <c r="X303">
        <f t="shared" si="5"/>
        <v>1</v>
      </c>
    </row>
    <row r="304" spans="24:24" x14ac:dyDescent="0.3">
      <c r="X304">
        <f t="shared" si="5"/>
        <v>1</v>
      </c>
    </row>
    <row r="305" spans="24:24" x14ac:dyDescent="0.3">
      <c r="X305">
        <f t="shared" si="5"/>
        <v>1</v>
      </c>
    </row>
    <row r="306" spans="24:24" x14ac:dyDescent="0.3">
      <c r="X306">
        <f t="shared" si="5"/>
        <v>1</v>
      </c>
    </row>
    <row r="307" spans="24:24" x14ac:dyDescent="0.3">
      <c r="X307">
        <f t="shared" si="5"/>
        <v>1</v>
      </c>
    </row>
    <row r="308" spans="24:24" x14ac:dyDescent="0.3">
      <c r="X308">
        <f t="shared" si="5"/>
        <v>1</v>
      </c>
    </row>
    <row r="309" spans="24:24" x14ac:dyDescent="0.3">
      <c r="X309">
        <f t="shared" si="5"/>
        <v>1</v>
      </c>
    </row>
    <row r="310" spans="24:24" x14ac:dyDescent="0.3">
      <c r="X310">
        <f t="shared" si="5"/>
        <v>1</v>
      </c>
    </row>
    <row r="311" spans="24:24" x14ac:dyDescent="0.3">
      <c r="X311">
        <f t="shared" si="5"/>
        <v>1</v>
      </c>
    </row>
    <row r="312" spans="24:24" x14ac:dyDescent="0.3">
      <c r="X312">
        <f t="shared" si="5"/>
        <v>1</v>
      </c>
    </row>
    <row r="313" spans="24:24" x14ac:dyDescent="0.3">
      <c r="X313">
        <f t="shared" si="5"/>
        <v>1</v>
      </c>
    </row>
    <row r="314" spans="24:24" x14ac:dyDescent="0.3">
      <c r="X314">
        <f t="shared" si="5"/>
        <v>1</v>
      </c>
    </row>
    <row r="315" spans="24:24" x14ac:dyDescent="0.3">
      <c r="X315">
        <f t="shared" si="5"/>
        <v>1</v>
      </c>
    </row>
    <row r="316" spans="24:24" x14ac:dyDescent="0.3">
      <c r="X316">
        <f t="shared" si="5"/>
        <v>1</v>
      </c>
    </row>
    <row r="317" spans="24:24" x14ac:dyDescent="0.3">
      <c r="X317">
        <f t="shared" si="5"/>
        <v>1</v>
      </c>
    </row>
    <row r="318" spans="24:24" x14ac:dyDescent="0.3">
      <c r="X318">
        <f t="shared" si="5"/>
        <v>1</v>
      </c>
    </row>
    <row r="319" spans="24:24" x14ac:dyDescent="0.3">
      <c r="X319">
        <f t="shared" si="5"/>
        <v>1</v>
      </c>
    </row>
    <row r="320" spans="24:24" x14ac:dyDescent="0.3">
      <c r="X320">
        <f t="shared" si="5"/>
        <v>1</v>
      </c>
    </row>
    <row r="321" spans="24:24" x14ac:dyDescent="0.3">
      <c r="X321">
        <f t="shared" si="5"/>
        <v>1</v>
      </c>
    </row>
    <row r="322" spans="24:24" x14ac:dyDescent="0.3">
      <c r="X322">
        <f t="shared" si="5"/>
        <v>1</v>
      </c>
    </row>
    <row r="323" spans="24:24" x14ac:dyDescent="0.3">
      <c r="X323">
        <f t="shared" si="5"/>
        <v>1</v>
      </c>
    </row>
    <row r="324" spans="24:24" x14ac:dyDescent="0.3">
      <c r="X324">
        <f t="shared" si="5"/>
        <v>1</v>
      </c>
    </row>
    <row r="325" spans="24:24" x14ac:dyDescent="0.3">
      <c r="X325">
        <f t="shared" si="5"/>
        <v>1</v>
      </c>
    </row>
    <row r="326" spans="24:24" x14ac:dyDescent="0.3">
      <c r="X326">
        <f t="shared" si="5"/>
        <v>1</v>
      </c>
    </row>
    <row r="327" spans="24:24" x14ac:dyDescent="0.3">
      <c r="X327">
        <f t="shared" si="5"/>
        <v>1</v>
      </c>
    </row>
    <row r="328" spans="24:24" x14ac:dyDescent="0.3">
      <c r="X328">
        <f t="shared" si="5"/>
        <v>1</v>
      </c>
    </row>
    <row r="329" spans="24:24" x14ac:dyDescent="0.3">
      <c r="X329">
        <f t="shared" si="5"/>
        <v>1</v>
      </c>
    </row>
    <row r="330" spans="24:24" x14ac:dyDescent="0.3">
      <c r="X330">
        <f t="shared" si="5"/>
        <v>1</v>
      </c>
    </row>
    <row r="331" spans="24:24" x14ac:dyDescent="0.3">
      <c r="X331">
        <f t="shared" si="5"/>
        <v>1</v>
      </c>
    </row>
    <row r="332" spans="24:24" x14ac:dyDescent="0.3">
      <c r="X332">
        <f t="shared" si="5"/>
        <v>1</v>
      </c>
    </row>
    <row r="333" spans="24:24" x14ac:dyDescent="0.3">
      <c r="X333">
        <f t="shared" si="5"/>
        <v>1</v>
      </c>
    </row>
    <row r="334" spans="24:24" x14ac:dyDescent="0.3">
      <c r="X334">
        <f t="shared" si="5"/>
        <v>1</v>
      </c>
    </row>
    <row r="335" spans="24:24" x14ac:dyDescent="0.3">
      <c r="X335">
        <f t="shared" si="5"/>
        <v>1</v>
      </c>
    </row>
    <row r="336" spans="24:24" x14ac:dyDescent="0.3">
      <c r="X336">
        <f t="shared" si="5"/>
        <v>1</v>
      </c>
    </row>
    <row r="337" spans="24:24" x14ac:dyDescent="0.3">
      <c r="X337">
        <f t="shared" si="5"/>
        <v>1</v>
      </c>
    </row>
    <row r="338" spans="24:24" x14ac:dyDescent="0.3">
      <c r="X338">
        <f t="shared" si="5"/>
        <v>1</v>
      </c>
    </row>
    <row r="339" spans="24:24" x14ac:dyDescent="0.3">
      <c r="X339">
        <f t="shared" si="5"/>
        <v>1</v>
      </c>
    </row>
    <row r="340" spans="24:24" x14ac:dyDescent="0.3">
      <c r="X340">
        <f t="shared" si="5"/>
        <v>1</v>
      </c>
    </row>
    <row r="341" spans="24:24" x14ac:dyDescent="0.3">
      <c r="X341">
        <f t="shared" si="5"/>
        <v>1</v>
      </c>
    </row>
    <row r="342" spans="24:24" x14ac:dyDescent="0.3">
      <c r="X342">
        <f t="shared" ref="X342:X405" si="6">IF(SUM(C342:W342)&lt;=5,1,0)</f>
        <v>1</v>
      </c>
    </row>
    <row r="343" spans="24:24" x14ac:dyDescent="0.3">
      <c r="X343">
        <f t="shared" si="6"/>
        <v>1</v>
      </c>
    </row>
    <row r="344" spans="24:24" x14ac:dyDescent="0.3">
      <c r="X344">
        <f t="shared" si="6"/>
        <v>1</v>
      </c>
    </row>
    <row r="345" spans="24:24" x14ac:dyDescent="0.3">
      <c r="X345">
        <f t="shared" si="6"/>
        <v>1</v>
      </c>
    </row>
    <row r="346" spans="24:24" x14ac:dyDescent="0.3">
      <c r="X346">
        <f t="shared" si="6"/>
        <v>1</v>
      </c>
    </row>
    <row r="347" spans="24:24" x14ac:dyDescent="0.3">
      <c r="X347">
        <f t="shared" si="6"/>
        <v>1</v>
      </c>
    </row>
    <row r="348" spans="24:24" x14ac:dyDescent="0.3">
      <c r="X348">
        <f t="shared" si="6"/>
        <v>1</v>
      </c>
    </row>
    <row r="349" spans="24:24" x14ac:dyDescent="0.3">
      <c r="X349">
        <f t="shared" si="6"/>
        <v>1</v>
      </c>
    </row>
    <row r="350" spans="24:24" x14ac:dyDescent="0.3">
      <c r="X350">
        <f t="shared" si="6"/>
        <v>1</v>
      </c>
    </row>
    <row r="351" spans="24:24" x14ac:dyDescent="0.3">
      <c r="X351">
        <f t="shared" si="6"/>
        <v>1</v>
      </c>
    </row>
    <row r="352" spans="24:24" x14ac:dyDescent="0.3">
      <c r="X352">
        <f t="shared" si="6"/>
        <v>1</v>
      </c>
    </row>
    <row r="353" spans="24:24" x14ac:dyDescent="0.3">
      <c r="X353">
        <f t="shared" si="6"/>
        <v>1</v>
      </c>
    </row>
    <row r="354" spans="24:24" x14ac:dyDescent="0.3">
      <c r="X354">
        <f t="shared" si="6"/>
        <v>1</v>
      </c>
    </row>
    <row r="355" spans="24:24" x14ac:dyDescent="0.3">
      <c r="X355">
        <f t="shared" si="6"/>
        <v>1</v>
      </c>
    </row>
    <row r="356" spans="24:24" x14ac:dyDescent="0.3">
      <c r="X356">
        <f t="shared" si="6"/>
        <v>1</v>
      </c>
    </row>
    <row r="357" spans="24:24" x14ac:dyDescent="0.3">
      <c r="X357">
        <f t="shared" si="6"/>
        <v>1</v>
      </c>
    </row>
    <row r="358" spans="24:24" x14ac:dyDescent="0.3">
      <c r="X358">
        <f t="shared" si="6"/>
        <v>1</v>
      </c>
    </row>
    <row r="359" spans="24:24" x14ac:dyDescent="0.3">
      <c r="X359">
        <f t="shared" si="6"/>
        <v>1</v>
      </c>
    </row>
    <row r="360" spans="24:24" x14ac:dyDescent="0.3">
      <c r="X360">
        <f t="shared" si="6"/>
        <v>1</v>
      </c>
    </row>
    <row r="361" spans="24:24" x14ac:dyDescent="0.3">
      <c r="X361">
        <f t="shared" si="6"/>
        <v>1</v>
      </c>
    </row>
    <row r="362" spans="24:24" x14ac:dyDescent="0.3">
      <c r="X362">
        <f t="shared" si="6"/>
        <v>1</v>
      </c>
    </row>
    <row r="363" spans="24:24" x14ac:dyDescent="0.3">
      <c r="X363">
        <f t="shared" si="6"/>
        <v>1</v>
      </c>
    </row>
    <row r="364" spans="24:24" x14ac:dyDescent="0.3">
      <c r="X364">
        <f t="shared" si="6"/>
        <v>1</v>
      </c>
    </row>
    <row r="365" spans="24:24" x14ac:dyDescent="0.3">
      <c r="X365">
        <f t="shared" si="6"/>
        <v>1</v>
      </c>
    </row>
    <row r="366" spans="24:24" x14ac:dyDescent="0.3">
      <c r="X366">
        <f t="shared" si="6"/>
        <v>1</v>
      </c>
    </row>
    <row r="367" spans="24:24" x14ac:dyDescent="0.3">
      <c r="X367">
        <f t="shared" si="6"/>
        <v>1</v>
      </c>
    </row>
    <row r="368" spans="24:24" x14ac:dyDescent="0.3">
      <c r="X368">
        <f t="shared" si="6"/>
        <v>1</v>
      </c>
    </row>
    <row r="369" spans="24:24" x14ac:dyDescent="0.3">
      <c r="X369">
        <f t="shared" si="6"/>
        <v>1</v>
      </c>
    </row>
    <row r="370" spans="24:24" x14ac:dyDescent="0.3">
      <c r="X370">
        <f t="shared" si="6"/>
        <v>1</v>
      </c>
    </row>
    <row r="371" spans="24:24" x14ac:dyDescent="0.3">
      <c r="X371">
        <f t="shared" si="6"/>
        <v>1</v>
      </c>
    </row>
    <row r="372" spans="24:24" x14ac:dyDescent="0.3">
      <c r="X372">
        <f t="shared" si="6"/>
        <v>1</v>
      </c>
    </row>
    <row r="373" spans="24:24" x14ac:dyDescent="0.3">
      <c r="X373">
        <f t="shared" si="6"/>
        <v>1</v>
      </c>
    </row>
    <row r="374" spans="24:24" x14ac:dyDescent="0.3">
      <c r="X374">
        <f t="shared" si="6"/>
        <v>1</v>
      </c>
    </row>
    <row r="375" spans="24:24" x14ac:dyDescent="0.3">
      <c r="X375">
        <f t="shared" si="6"/>
        <v>1</v>
      </c>
    </row>
    <row r="376" spans="24:24" x14ac:dyDescent="0.3">
      <c r="X376">
        <f t="shared" si="6"/>
        <v>1</v>
      </c>
    </row>
    <row r="377" spans="24:24" x14ac:dyDescent="0.3">
      <c r="X377">
        <f t="shared" si="6"/>
        <v>1</v>
      </c>
    </row>
    <row r="378" spans="24:24" x14ac:dyDescent="0.3">
      <c r="X378">
        <f t="shared" si="6"/>
        <v>1</v>
      </c>
    </row>
    <row r="379" spans="24:24" x14ac:dyDescent="0.3">
      <c r="X379">
        <f t="shared" si="6"/>
        <v>1</v>
      </c>
    </row>
    <row r="380" spans="24:24" x14ac:dyDescent="0.3">
      <c r="X380">
        <f t="shared" si="6"/>
        <v>1</v>
      </c>
    </row>
    <row r="381" spans="24:24" x14ac:dyDescent="0.3">
      <c r="X381">
        <f t="shared" si="6"/>
        <v>1</v>
      </c>
    </row>
    <row r="382" spans="24:24" x14ac:dyDescent="0.3">
      <c r="X382">
        <f t="shared" si="6"/>
        <v>1</v>
      </c>
    </row>
    <row r="383" spans="24:24" x14ac:dyDescent="0.3">
      <c r="X383">
        <f t="shared" si="6"/>
        <v>1</v>
      </c>
    </row>
    <row r="384" spans="24:24" x14ac:dyDescent="0.3">
      <c r="X384">
        <f t="shared" si="6"/>
        <v>1</v>
      </c>
    </row>
    <row r="385" spans="24:24" x14ac:dyDescent="0.3">
      <c r="X385">
        <f t="shared" si="6"/>
        <v>1</v>
      </c>
    </row>
    <row r="386" spans="24:24" x14ac:dyDescent="0.3">
      <c r="X386">
        <f t="shared" si="6"/>
        <v>1</v>
      </c>
    </row>
    <row r="387" spans="24:24" x14ac:dyDescent="0.3">
      <c r="X387">
        <f t="shared" si="6"/>
        <v>1</v>
      </c>
    </row>
    <row r="388" spans="24:24" x14ac:dyDescent="0.3">
      <c r="X388">
        <f t="shared" si="6"/>
        <v>1</v>
      </c>
    </row>
    <row r="389" spans="24:24" x14ac:dyDescent="0.3">
      <c r="X389">
        <f t="shared" si="6"/>
        <v>1</v>
      </c>
    </row>
    <row r="390" spans="24:24" x14ac:dyDescent="0.3">
      <c r="X390">
        <f t="shared" si="6"/>
        <v>1</v>
      </c>
    </row>
    <row r="391" spans="24:24" x14ac:dyDescent="0.3">
      <c r="X391">
        <f t="shared" si="6"/>
        <v>1</v>
      </c>
    </row>
    <row r="392" spans="24:24" x14ac:dyDescent="0.3">
      <c r="X392">
        <f t="shared" si="6"/>
        <v>1</v>
      </c>
    </row>
    <row r="393" spans="24:24" x14ac:dyDescent="0.3">
      <c r="X393">
        <f t="shared" si="6"/>
        <v>1</v>
      </c>
    </row>
    <row r="394" spans="24:24" x14ac:dyDescent="0.3">
      <c r="X394">
        <f t="shared" si="6"/>
        <v>1</v>
      </c>
    </row>
    <row r="395" spans="24:24" x14ac:dyDescent="0.3">
      <c r="X395">
        <f t="shared" si="6"/>
        <v>1</v>
      </c>
    </row>
    <row r="396" spans="24:24" x14ac:dyDescent="0.3">
      <c r="X396">
        <f t="shared" si="6"/>
        <v>1</v>
      </c>
    </row>
    <row r="397" spans="24:24" x14ac:dyDescent="0.3">
      <c r="X397">
        <f t="shared" si="6"/>
        <v>1</v>
      </c>
    </row>
    <row r="398" spans="24:24" x14ac:dyDescent="0.3">
      <c r="X398">
        <f t="shared" si="6"/>
        <v>1</v>
      </c>
    </row>
    <row r="399" spans="24:24" x14ac:dyDescent="0.3">
      <c r="X399">
        <f t="shared" si="6"/>
        <v>1</v>
      </c>
    </row>
    <row r="400" spans="24:24" x14ac:dyDescent="0.3">
      <c r="X400">
        <f t="shared" si="6"/>
        <v>1</v>
      </c>
    </row>
    <row r="401" spans="24:24" x14ac:dyDescent="0.3">
      <c r="X401">
        <f t="shared" si="6"/>
        <v>1</v>
      </c>
    </row>
    <row r="402" spans="24:24" x14ac:dyDescent="0.3">
      <c r="X402">
        <f t="shared" si="6"/>
        <v>1</v>
      </c>
    </row>
    <row r="403" spans="24:24" x14ac:dyDescent="0.3">
      <c r="X403">
        <f t="shared" si="6"/>
        <v>1</v>
      </c>
    </row>
    <row r="404" spans="24:24" x14ac:dyDescent="0.3">
      <c r="X404">
        <f t="shared" si="6"/>
        <v>1</v>
      </c>
    </row>
    <row r="405" spans="24:24" x14ac:dyDescent="0.3">
      <c r="X405">
        <f t="shared" si="6"/>
        <v>1</v>
      </c>
    </row>
    <row r="406" spans="24:24" x14ac:dyDescent="0.3">
      <c r="X406">
        <f t="shared" ref="X406:X469" si="7">IF(SUM(C406:W406)&lt;=5,1,0)</f>
        <v>1</v>
      </c>
    </row>
    <row r="407" spans="24:24" x14ac:dyDescent="0.3">
      <c r="X407">
        <f t="shared" si="7"/>
        <v>1</v>
      </c>
    </row>
    <row r="408" spans="24:24" x14ac:dyDescent="0.3">
      <c r="X408">
        <f t="shared" si="7"/>
        <v>1</v>
      </c>
    </row>
    <row r="409" spans="24:24" x14ac:dyDescent="0.3">
      <c r="X409">
        <f t="shared" si="7"/>
        <v>1</v>
      </c>
    </row>
    <row r="410" spans="24:24" x14ac:dyDescent="0.3">
      <c r="X410">
        <f t="shared" si="7"/>
        <v>1</v>
      </c>
    </row>
    <row r="411" spans="24:24" x14ac:dyDescent="0.3">
      <c r="X411">
        <f t="shared" si="7"/>
        <v>1</v>
      </c>
    </row>
    <row r="412" spans="24:24" x14ac:dyDescent="0.3">
      <c r="X412">
        <f t="shared" si="7"/>
        <v>1</v>
      </c>
    </row>
    <row r="413" spans="24:24" x14ac:dyDescent="0.3">
      <c r="X413">
        <f t="shared" si="7"/>
        <v>1</v>
      </c>
    </row>
    <row r="414" spans="24:24" x14ac:dyDescent="0.3">
      <c r="X414">
        <f t="shared" si="7"/>
        <v>1</v>
      </c>
    </row>
    <row r="415" spans="24:24" x14ac:dyDescent="0.3">
      <c r="X415">
        <f t="shared" si="7"/>
        <v>1</v>
      </c>
    </row>
    <row r="416" spans="24:24" x14ac:dyDescent="0.3">
      <c r="X416">
        <f t="shared" si="7"/>
        <v>1</v>
      </c>
    </row>
    <row r="417" spans="24:24" x14ac:dyDescent="0.3">
      <c r="X417">
        <f t="shared" si="7"/>
        <v>1</v>
      </c>
    </row>
    <row r="418" spans="24:24" x14ac:dyDescent="0.3">
      <c r="X418">
        <f t="shared" si="7"/>
        <v>1</v>
      </c>
    </row>
    <row r="419" spans="24:24" x14ac:dyDescent="0.3">
      <c r="X419">
        <f t="shared" si="7"/>
        <v>1</v>
      </c>
    </row>
    <row r="420" spans="24:24" x14ac:dyDescent="0.3">
      <c r="X420">
        <f t="shared" si="7"/>
        <v>1</v>
      </c>
    </row>
    <row r="421" spans="24:24" x14ac:dyDescent="0.3">
      <c r="X421">
        <f t="shared" si="7"/>
        <v>1</v>
      </c>
    </row>
    <row r="422" spans="24:24" x14ac:dyDescent="0.3">
      <c r="X422">
        <f t="shared" si="7"/>
        <v>1</v>
      </c>
    </row>
    <row r="423" spans="24:24" x14ac:dyDescent="0.3">
      <c r="X423">
        <f t="shared" si="7"/>
        <v>1</v>
      </c>
    </row>
    <row r="424" spans="24:24" x14ac:dyDescent="0.3">
      <c r="X424">
        <f t="shared" si="7"/>
        <v>1</v>
      </c>
    </row>
    <row r="425" spans="24:24" x14ac:dyDescent="0.3">
      <c r="X425">
        <f t="shared" si="7"/>
        <v>1</v>
      </c>
    </row>
    <row r="426" spans="24:24" x14ac:dyDescent="0.3">
      <c r="X426">
        <f t="shared" si="7"/>
        <v>1</v>
      </c>
    </row>
    <row r="427" spans="24:24" x14ac:dyDescent="0.3">
      <c r="X427">
        <f t="shared" si="7"/>
        <v>1</v>
      </c>
    </row>
    <row r="428" spans="24:24" x14ac:dyDescent="0.3">
      <c r="X428">
        <f t="shared" si="7"/>
        <v>1</v>
      </c>
    </row>
    <row r="429" spans="24:24" x14ac:dyDescent="0.3">
      <c r="X429">
        <f t="shared" si="7"/>
        <v>1</v>
      </c>
    </row>
    <row r="430" spans="24:24" x14ac:dyDescent="0.3">
      <c r="X430">
        <f t="shared" si="7"/>
        <v>1</v>
      </c>
    </row>
    <row r="431" spans="24:24" x14ac:dyDescent="0.3">
      <c r="X431">
        <f t="shared" si="7"/>
        <v>1</v>
      </c>
    </row>
    <row r="432" spans="24:24" x14ac:dyDescent="0.3">
      <c r="X432">
        <f t="shared" si="7"/>
        <v>1</v>
      </c>
    </row>
    <row r="433" spans="24:24" x14ac:dyDescent="0.3">
      <c r="X433">
        <f t="shared" si="7"/>
        <v>1</v>
      </c>
    </row>
    <row r="434" spans="24:24" x14ac:dyDescent="0.3">
      <c r="X434">
        <f t="shared" si="7"/>
        <v>1</v>
      </c>
    </row>
    <row r="435" spans="24:24" x14ac:dyDescent="0.3">
      <c r="X435">
        <f t="shared" si="7"/>
        <v>1</v>
      </c>
    </row>
    <row r="436" spans="24:24" x14ac:dyDescent="0.3">
      <c r="X436">
        <f t="shared" si="7"/>
        <v>1</v>
      </c>
    </row>
    <row r="437" spans="24:24" x14ac:dyDescent="0.3">
      <c r="X437">
        <f t="shared" si="7"/>
        <v>1</v>
      </c>
    </row>
    <row r="438" spans="24:24" x14ac:dyDescent="0.3">
      <c r="X438">
        <f t="shared" si="7"/>
        <v>1</v>
      </c>
    </row>
    <row r="439" spans="24:24" x14ac:dyDescent="0.3">
      <c r="X439">
        <f t="shared" si="7"/>
        <v>1</v>
      </c>
    </row>
    <row r="440" spans="24:24" x14ac:dyDescent="0.3">
      <c r="X440">
        <f t="shared" si="7"/>
        <v>1</v>
      </c>
    </row>
    <row r="441" spans="24:24" x14ac:dyDescent="0.3">
      <c r="X441">
        <f t="shared" si="7"/>
        <v>1</v>
      </c>
    </row>
    <row r="442" spans="24:24" x14ac:dyDescent="0.3">
      <c r="X442">
        <f t="shared" si="7"/>
        <v>1</v>
      </c>
    </row>
    <row r="443" spans="24:24" x14ac:dyDescent="0.3">
      <c r="X443">
        <f t="shared" si="7"/>
        <v>1</v>
      </c>
    </row>
    <row r="444" spans="24:24" x14ac:dyDescent="0.3">
      <c r="X444">
        <f t="shared" si="7"/>
        <v>1</v>
      </c>
    </row>
    <row r="445" spans="24:24" x14ac:dyDescent="0.3">
      <c r="X445">
        <f t="shared" si="7"/>
        <v>1</v>
      </c>
    </row>
    <row r="446" spans="24:24" x14ac:dyDescent="0.3">
      <c r="X446">
        <f t="shared" si="7"/>
        <v>1</v>
      </c>
    </row>
    <row r="447" spans="24:24" x14ac:dyDescent="0.3">
      <c r="X447">
        <f t="shared" si="7"/>
        <v>1</v>
      </c>
    </row>
    <row r="448" spans="24:24" x14ac:dyDescent="0.3">
      <c r="X448">
        <f t="shared" si="7"/>
        <v>1</v>
      </c>
    </row>
    <row r="449" spans="24:24" x14ac:dyDescent="0.3">
      <c r="X449">
        <f t="shared" si="7"/>
        <v>1</v>
      </c>
    </row>
    <row r="450" spans="24:24" x14ac:dyDescent="0.3">
      <c r="X450">
        <f t="shared" si="7"/>
        <v>1</v>
      </c>
    </row>
    <row r="451" spans="24:24" x14ac:dyDescent="0.3">
      <c r="X451">
        <f t="shared" si="7"/>
        <v>1</v>
      </c>
    </row>
    <row r="452" spans="24:24" x14ac:dyDescent="0.3">
      <c r="X452">
        <f t="shared" si="7"/>
        <v>1</v>
      </c>
    </row>
    <row r="453" spans="24:24" x14ac:dyDescent="0.3">
      <c r="X453">
        <f t="shared" si="7"/>
        <v>1</v>
      </c>
    </row>
    <row r="454" spans="24:24" x14ac:dyDescent="0.3">
      <c r="X454">
        <f t="shared" si="7"/>
        <v>1</v>
      </c>
    </row>
    <row r="455" spans="24:24" x14ac:dyDescent="0.3">
      <c r="X455">
        <f t="shared" si="7"/>
        <v>1</v>
      </c>
    </row>
    <row r="456" spans="24:24" x14ac:dyDescent="0.3">
      <c r="X456">
        <f t="shared" si="7"/>
        <v>1</v>
      </c>
    </row>
    <row r="457" spans="24:24" x14ac:dyDescent="0.3">
      <c r="X457">
        <f t="shared" si="7"/>
        <v>1</v>
      </c>
    </row>
    <row r="458" spans="24:24" x14ac:dyDescent="0.3">
      <c r="X458">
        <f t="shared" si="7"/>
        <v>1</v>
      </c>
    </row>
    <row r="459" spans="24:24" x14ac:dyDescent="0.3">
      <c r="X459">
        <f t="shared" si="7"/>
        <v>1</v>
      </c>
    </row>
    <row r="460" spans="24:24" x14ac:dyDescent="0.3">
      <c r="X460">
        <f t="shared" si="7"/>
        <v>1</v>
      </c>
    </row>
    <row r="461" spans="24:24" x14ac:dyDescent="0.3">
      <c r="X461">
        <f t="shared" si="7"/>
        <v>1</v>
      </c>
    </row>
    <row r="462" spans="24:24" x14ac:dyDescent="0.3">
      <c r="X462">
        <f t="shared" si="7"/>
        <v>1</v>
      </c>
    </row>
    <row r="463" spans="24:24" x14ac:dyDescent="0.3">
      <c r="X463">
        <f t="shared" si="7"/>
        <v>1</v>
      </c>
    </row>
    <row r="464" spans="24:24" x14ac:dyDescent="0.3">
      <c r="X464">
        <f t="shared" si="7"/>
        <v>1</v>
      </c>
    </row>
    <row r="465" spans="24:24" x14ac:dyDescent="0.3">
      <c r="X465">
        <f t="shared" si="7"/>
        <v>1</v>
      </c>
    </row>
    <row r="466" spans="24:24" x14ac:dyDescent="0.3">
      <c r="X466">
        <f t="shared" si="7"/>
        <v>1</v>
      </c>
    </row>
    <row r="467" spans="24:24" x14ac:dyDescent="0.3">
      <c r="X467">
        <f t="shared" si="7"/>
        <v>1</v>
      </c>
    </row>
    <row r="468" spans="24:24" x14ac:dyDescent="0.3">
      <c r="X468">
        <f t="shared" si="7"/>
        <v>1</v>
      </c>
    </row>
    <row r="469" spans="24:24" x14ac:dyDescent="0.3">
      <c r="X469">
        <f t="shared" si="7"/>
        <v>1</v>
      </c>
    </row>
    <row r="470" spans="24:24" x14ac:dyDescent="0.3">
      <c r="X470">
        <f t="shared" ref="X470:X533" si="8">IF(SUM(C470:W470)&lt;=5,1,0)</f>
        <v>1</v>
      </c>
    </row>
    <row r="471" spans="24:24" x14ac:dyDescent="0.3">
      <c r="X471">
        <f t="shared" si="8"/>
        <v>1</v>
      </c>
    </row>
    <row r="472" spans="24:24" x14ac:dyDescent="0.3">
      <c r="X472">
        <f t="shared" si="8"/>
        <v>1</v>
      </c>
    </row>
    <row r="473" spans="24:24" x14ac:dyDescent="0.3">
      <c r="X473">
        <f t="shared" si="8"/>
        <v>1</v>
      </c>
    </row>
    <row r="474" spans="24:24" x14ac:dyDescent="0.3">
      <c r="X474">
        <f t="shared" si="8"/>
        <v>1</v>
      </c>
    </row>
    <row r="475" spans="24:24" x14ac:dyDescent="0.3">
      <c r="X475">
        <f t="shared" si="8"/>
        <v>1</v>
      </c>
    </row>
    <row r="476" spans="24:24" x14ac:dyDescent="0.3">
      <c r="X476">
        <f t="shared" si="8"/>
        <v>1</v>
      </c>
    </row>
    <row r="477" spans="24:24" x14ac:dyDescent="0.3">
      <c r="X477">
        <f t="shared" si="8"/>
        <v>1</v>
      </c>
    </row>
    <row r="478" spans="24:24" x14ac:dyDescent="0.3">
      <c r="X478">
        <f t="shared" si="8"/>
        <v>1</v>
      </c>
    </row>
    <row r="479" spans="24:24" x14ac:dyDescent="0.3">
      <c r="X479">
        <f t="shared" si="8"/>
        <v>1</v>
      </c>
    </row>
    <row r="480" spans="24:24" x14ac:dyDescent="0.3">
      <c r="X480">
        <f t="shared" si="8"/>
        <v>1</v>
      </c>
    </row>
    <row r="481" spans="24:24" x14ac:dyDescent="0.3">
      <c r="X481">
        <f t="shared" si="8"/>
        <v>1</v>
      </c>
    </row>
    <row r="482" spans="24:24" x14ac:dyDescent="0.3">
      <c r="X482">
        <f t="shared" si="8"/>
        <v>1</v>
      </c>
    </row>
    <row r="483" spans="24:24" x14ac:dyDescent="0.3">
      <c r="X483">
        <f t="shared" si="8"/>
        <v>1</v>
      </c>
    </row>
    <row r="484" spans="24:24" x14ac:dyDescent="0.3">
      <c r="X484">
        <f t="shared" si="8"/>
        <v>1</v>
      </c>
    </row>
    <row r="485" spans="24:24" x14ac:dyDescent="0.3">
      <c r="X485">
        <f t="shared" si="8"/>
        <v>1</v>
      </c>
    </row>
    <row r="486" spans="24:24" x14ac:dyDescent="0.3">
      <c r="X486">
        <f t="shared" si="8"/>
        <v>1</v>
      </c>
    </row>
    <row r="487" spans="24:24" x14ac:dyDescent="0.3">
      <c r="X487">
        <f t="shared" si="8"/>
        <v>1</v>
      </c>
    </row>
    <row r="488" spans="24:24" x14ac:dyDescent="0.3">
      <c r="X488">
        <f t="shared" si="8"/>
        <v>1</v>
      </c>
    </row>
    <row r="489" spans="24:24" x14ac:dyDescent="0.3">
      <c r="X489">
        <f t="shared" si="8"/>
        <v>1</v>
      </c>
    </row>
    <row r="490" spans="24:24" x14ac:dyDescent="0.3">
      <c r="X490">
        <f t="shared" si="8"/>
        <v>1</v>
      </c>
    </row>
    <row r="491" spans="24:24" x14ac:dyDescent="0.3">
      <c r="X491">
        <f t="shared" si="8"/>
        <v>1</v>
      </c>
    </row>
    <row r="492" spans="24:24" x14ac:dyDescent="0.3">
      <c r="X492">
        <f t="shared" si="8"/>
        <v>1</v>
      </c>
    </row>
    <row r="493" spans="24:24" x14ac:dyDescent="0.3">
      <c r="X493">
        <f t="shared" si="8"/>
        <v>1</v>
      </c>
    </row>
    <row r="494" spans="24:24" x14ac:dyDescent="0.3">
      <c r="X494">
        <f t="shared" si="8"/>
        <v>1</v>
      </c>
    </row>
    <row r="495" spans="24:24" x14ac:dyDescent="0.3">
      <c r="X495">
        <f t="shared" si="8"/>
        <v>1</v>
      </c>
    </row>
    <row r="496" spans="24:24" x14ac:dyDescent="0.3">
      <c r="X496">
        <f t="shared" si="8"/>
        <v>1</v>
      </c>
    </row>
    <row r="497" spans="24:24" x14ac:dyDescent="0.3">
      <c r="X497">
        <f t="shared" si="8"/>
        <v>1</v>
      </c>
    </row>
    <row r="498" spans="24:24" x14ac:dyDescent="0.3">
      <c r="X498">
        <f t="shared" si="8"/>
        <v>1</v>
      </c>
    </row>
    <row r="499" spans="24:24" x14ac:dyDescent="0.3">
      <c r="X499">
        <f t="shared" si="8"/>
        <v>1</v>
      </c>
    </row>
    <row r="500" spans="24:24" x14ac:dyDescent="0.3">
      <c r="X500">
        <f t="shared" si="8"/>
        <v>1</v>
      </c>
    </row>
    <row r="501" spans="24:24" x14ac:dyDescent="0.3">
      <c r="X501">
        <f t="shared" si="8"/>
        <v>1</v>
      </c>
    </row>
    <row r="502" spans="24:24" x14ac:dyDescent="0.3">
      <c r="X502">
        <f t="shared" si="8"/>
        <v>1</v>
      </c>
    </row>
    <row r="503" spans="24:24" x14ac:dyDescent="0.3">
      <c r="X503">
        <f t="shared" si="8"/>
        <v>1</v>
      </c>
    </row>
    <row r="504" spans="24:24" x14ac:dyDescent="0.3">
      <c r="X504">
        <f t="shared" si="8"/>
        <v>1</v>
      </c>
    </row>
    <row r="505" spans="24:24" x14ac:dyDescent="0.3">
      <c r="X505">
        <f t="shared" si="8"/>
        <v>1</v>
      </c>
    </row>
    <row r="506" spans="24:24" x14ac:dyDescent="0.3">
      <c r="X506">
        <f t="shared" si="8"/>
        <v>1</v>
      </c>
    </row>
    <row r="507" spans="24:24" x14ac:dyDescent="0.3">
      <c r="X507">
        <f t="shared" si="8"/>
        <v>1</v>
      </c>
    </row>
    <row r="508" spans="24:24" x14ac:dyDescent="0.3">
      <c r="X508">
        <f t="shared" si="8"/>
        <v>1</v>
      </c>
    </row>
    <row r="509" spans="24:24" x14ac:dyDescent="0.3">
      <c r="X509">
        <f t="shared" si="8"/>
        <v>1</v>
      </c>
    </row>
    <row r="510" spans="24:24" x14ac:dyDescent="0.3">
      <c r="X510">
        <f t="shared" si="8"/>
        <v>1</v>
      </c>
    </row>
    <row r="511" spans="24:24" x14ac:dyDescent="0.3">
      <c r="X511">
        <f t="shared" si="8"/>
        <v>1</v>
      </c>
    </row>
    <row r="512" spans="24:24" x14ac:dyDescent="0.3">
      <c r="X512">
        <f t="shared" si="8"/>
        <v>1</v>
      </c>
    </row>
    <row r="513" spans="24:24" x14ac:dyDescent="0.3">
      <c r="X513">
        <f t="shared" si="8"/>
        <v>1</v>
      </c>
    </row>
    <row r="514" spans="24:24" x14ac:dyDescent="0.3">
      <c r="X514">
        <f t="shared" si="8"/>
        <v>1</v>
      </c>
    </row>
    <row r="515" spans="24:24" x14ac:dyDescent="0.3">
      <c r="X515">
        <f t="shared" si="8"/>
        <v>1</v>
      </c>
    </row>
    <row r="516" spans="24:24" x14ac:dyDescent="0.3">
      <c r="X516">
        <f t="shared" si="8"/>
        <v>1</v>
      </c>
    </row>
    <row r="517" spans="24:24" x14ac:dyDescent="0.3">
      <c r="X517">
        <f t="shared" si="8"/>
        <v>1</v>
      </c>
    </row>
    <row r="518" spans="24:24" x14ac:dyDescent="0.3">
      <c r="X518">
        <f t="shared" si="8"/>
        <v>1</v>
      </c>
    </row>
    <row r="519" spans="24:24" x14ac:dyDescent="0.3">
      <c r="X519">
        <f t="shared" si="8"/>
        <v>1</v>
      </c>
    </row>
    <row r="520" spans="24:24" x14ac:dyDescent="0.3">
      <c r="X520">
        <f t="shared" si="8"/>
        <v>1</v>
      </c>
    </row>
    <row r="521" spans="24:24" x14ac:dyDescent="0.3">
      <c r="X521">
        <f t="shared" si="8"/>
        <v>1</v>
      </c>
    </row>
    <row r="522" spans="24:24" x14ac:dyDescent="0.3">
      <c r="X522">
        <f t="shared" si="8"/>
        <v>1</v>
      </c>
    </row>
    <row r="523" spans="24:24" x14ac:dyDescent="0.3">
      <c r="X523">
        <f t="shared" si="8"/>
        <v>1</v>
      </c>
    </row>
    <row r="524" spans="24:24" x14ac:dyDescent="0.3">
      <c r="X524">
        <f t="shared" si="8"/>
        <v>1</v>
      </c>
    </row>
    <row r="525" spans="24:24" x14ac:dyDescent="0.3">
      <c r="X525">
        <f t="shared" si="8"/>
        <v>1</v>
      </c>
    </row>
    <row r="526" spans="24:24" x14ac:dyDescent="0.3">
      <c r="X526">
        <f t="shared" si="8"/>
        <v>1</v>
      </c>
    </row>
    <row r="527" spans="24:24" x14ac:dyDescent="0.3">
      <c r="X527">
        <f t="shared" si="8"/>
        <v>1</v>
      </c>
    </row>
    <row r="528" spans="24:24" x14ac:dyDescent="0.3">
      <c r="X528">
        <f t="shared" si="8"/>
        <v>1</v>
      </c>
    </row>
    <row r="529" spans="24:24" x14ac:dyDescent="0.3">
      <c r="X529">
        <f t="shared" si="8"/>
        <v>1</v>
      </c>
    </row>
    <row r="530" spans="24:24" x14ac:dyDescent="0.3">
      <c r="X530">
        <f t="shared" si="8"/>
        <v>1</v>
      </c>
    </row>
    <row r="531" spans="24:24" x14ac:dyDescent="0.3">
      <c r="X531">
        <f t="shared" si="8"/>
        <v>1</v>
      </c>
    </row>
    <row r="532" spans="24:24" x14ac:dyDescent="0.3">
      <c r="X532">
        <f t="shared" si="8"/>
        <v>1</v>
      </c>
    </row>
    <row r="533" spans="24:24" x14ac:dyDescent="0.3">
      <c r="X533">
        <f t="shared" si="8"/>
        <v>1</v>
      </c>
    </row>
    <row r="534" spans="24:24" x14ac:dyDescent="0.3">
      <c r="X534">
        <f t="shared" ref="X534:X597" si="9">IF(SUM(C534:W534)&lt;=5,1,0)</f>
        <v>1</v>
      </c>
    </row>
    <row r="535" spans="24:24" x14ac:dyDescent="0.3">
      <c r="X535">
        <f t="shared" si="9"/>
        <v>1</v>
      </c>
    </row>
    <row r="536" spans="24:24" x14ac:dyDescent="0.3">
      <c r="X536">
        <f t="shared" si="9"/>
        <v>1</v>
      </c>
    </row>
    <row r="537" spans="24:24" x14ac:dyDescent="0.3">
      <c r="X537">
        <f t="shared" si="9"/>
        <v>1</v>
      </c>
    </row>
    <row r="538" spans="24:24" x14ac:dyDescent="0.3">
      <c r="X538">
        <f t="shared" si="9"/>
        <v>1</v>
      </c>
    </row>
    <row r="539" spans="24:24" x14ac:dyDescent="0.3">
      <c r="X539">
        <f t="shared" si="9"/>
        <v>1</v>
      </c>
    </row>
    <row r="540" spans="24:24" x14ac:dyDescent="0.3">
      <c r="X540">
        <f t="shared" si="9"/>
        <v>1</v>
      </c>
    </row>
    <row r="541" spans="24:24" x14ac:dyDescent="0.3">
      <c r="X541">
        <f t="shared" si="9"/>
        <v>1</v>
      </c>
    </row>
    <row r="542" spans="24:24" x14ac:dyDescent="0.3">
      <c r="X542">
        <f t="shared" si="9"/>
        <v>1</v>
      </c>
    </row>
    <row r="543" spans="24:24" x14ac:dyDescent="0.3">
      <c r="X543">
        <f t="shared" si="9"/>
        <v>1</v>
      </c>
    </row>
    <row r="544" spans="24:24" x14ac:dyDescent="0.3">
      <c r="X544">
        <f t="shared" si="9"/>
        <v>1</v>
      </c>
    </row>
    <row r="545" spans="24:24" x14ac:dyDescent="0.3">
      <c r="X545">
        <f t="shared" si="9"/>
        <v>1</v>
      </c>
    </row>
    <row r="546" spans="24:24" x14ac:dyDescent="0.3">
      <c r="X546">
        <f t="shared" si="9"/>
        <v>1</v>
      </c>
    </row>
    <row r="547" spans="24:24" x14ac:dyDescent="0.3">
      <c r="X547">
        <f t="shared" si="9"/>
        <v>1</v>
      </c>
    </row>
    <row r="548" spans="24:24" x14ac:dyDescent="0.3">
      <c r="X548">
        <f t="shared" si="9"/>
        <v>1</v>
      </c>
    </row>
    <row r="549" spans="24:24" x14ac:dyDescent="0.3">
      <c r="X549">
        <f t="shared" si="9"/>
        <v>1</v>
      </c>
    </row>
    <row r="550" spans="24:24" x14ac:dyDescent="0.3">
      <c r="X550">
        <f t="shared" si="9"/>
        <v>1</v>
      </c>
    </row>
    <row r="551" spans="24:24" x14ac:dyDescent="0.3">
      <c r="X551">
        <f t="shared" si="9"/>
        <v>1</v>
      </c>
    </row>
    <row r="552" spans="24:24" x14ac:dyDescent="0.3">
      <c r="X552">
        <f t="shared" si="9"/>
        <v>1</v>
      </c>
    </row>
    <row r="553" spans="24:24" x14ac:dyDescent="0.3">
      <c r="X553">
        <f t="shared" si="9"/>
        <v>1</v>
      </c>
    </row>
    <row r="554" spans="24:24" x14ac:dyDescent="0.3">
      <c r="X554">
        <f t="shared" si="9"/>
        <v>1</v>
      </c>
    </row>
    <row r="555" spans="24:24" x14ac:dyDescent="0.3">
      <c r="X555">
        <f t="shared" si="9"/>
        <v>1</v>
      </c>
    </row>
    <row r="556" spans="24:24" x14ac:dyDescent="0.3">
      <c r="X556">
        <f t="shared" si="9"/>
        <v>1</v>
      </c>
    </row>
    <row r="557" spans="24:24" x14ac:dyDescent="0.3">
      <c r="X557">
        <f t="shared" si="9"/>
        <v>1</v>
      </c>
    </row>
    <row r="558" spans="24:24" x14ac:dyDescent="0.3">
      <c r="X558">
        <f t="shared" si="9"/>
        <v>1</v>
      </c>
    </row>
    <row r="559" spans="24:24" x14ac:dyDescent="0.3">
      <c r="X559">
        <f t="shared" si="9"/>
        <v>1</v>
      </c>
    </row>
    <row r="560" spans="24:24" x14ac:dyDescent="0.3">
      <c r="X560">
        <f t="shared" si="9"/>
        <v>1</v>
      </c>
    </row>
    <row r="561" spans="24:24" x14ac:dyDescent="0.3">
      <c r="X561">
        <f t="shared" si="9"/>
        <v>1</v>
      </c>
    </row>
    <row r="562" spans="24:24" x14ac:dyDescent="0.3">
      <c r="X562">
        <f t="shared" si="9"/>
        <v>1</v>
      </c>
    </row>
    <row r="563" spans="24:24" x14ac:dyDescent="0.3">
      <c r="X563">
        <f t="shared" si="9"/>
        <v>1</v>
      </c>
    </row>
    <row r="564" spans="24:24" x14ac:dyDescent="0.3">
      <c r="X564">
        <f t="shared" si="9"/>
        <v>1</v>
      </c>
    </row>
    <row r="565" spans="24:24" x14ac:dyDescent="0.3">
      <c r="X565">
        <f t="shared" si="9"/>
        <v>1</v>
      </c>
    </row>
    <row r="566" spans="24:24" x14ac:dyDescent="0.3">
      <c r="X566">
        <f t="shared" si="9"/>
        <v>1</v>
      </c>
    </row>
    <row r="567" spans="24:24" x14ac:dyDescent="0.3">
      <c r="X567">
        <f t="shared" si="9"/>
        <v>1</v>
      </c>
    </row>
    <row r="568" spans="24:24" x14ac:dyDescent="0.3">
      <c r="X568">
        <f t="shared" si="9"/>
        <v>1</v>
      </c>
    </row>
    <row r="569" spans="24:24" x14ac:dyDescent="0.3">
      <c r="X569">
        <f t="shared" si="9"/>
        <v>1</v>
      </c>
    </row>
    <row r="570" spans="24:24" x14ac:dyDescent="0.3">
      <c r="X570">
        <f t="shared" si="9"/>
        <v>1</v>
      </c>
    </row>
    <row r="571" spans="24:24" x14ac:dyDescent="0.3">
      <c r="X571">
        <f t="shared" si="9"/>
        <v>1</v>
      </c>
    </row>
    <row r="572" spans="24:24" x14ac:dyDescent="0.3">
      <c r="X572">
        <f t="shared" si="9"/>
        <v>1</v>
      </c>
    </row>
    <row r="573" spans="24:24" x14ac:dyDescent="0.3">
      <c r="X573">
        <f t="shared" si="9"/>
        <v>1</v>
      </c>
    </row>
    <row r="574" spans="24:24" x14ac:dyDescent="0.3">
      <c r="X574">
        <f t="shared" si="9"/>
        <v>1</v>
      </c>
    </row>
    <row r="575" spans="24:24" x14ac:dyDescent="0.3">
      <c r="X575">
        <f t="shared" si="9"/>
        <v>1</v>
      </c>
    </row>
    <row r="576" spans="24:24" x14ac:dyDescent="0.3">
      <c r="X576">
        <f t="shared" si="9"/>
        <v>1</v>
      </c>
    </row>
    <row r="577" spans="24:24" x14ac:dyDescent="0.3">
      <c r="X577">
        <f t="shared" si="9"/>
        <v>1</v>
      </c>
    </row>
    <row r="578" spans="24:24" x14ac:dyDescent="0.3">
      <c r="X578">
        <f t="shared" si="9"/>
        <v>1</v>
      </c>
    </row>
    <row r="579" spans="24:24" x14ac:dyDescent="0.3">
      <c r="X579">
        <f t="shared" si="9"/>
        <v>1</v>
      </c>
    </row>
    <row r="580" spans="24:24" x14ac:dyDescent="0.3">
      <c r="X580">
        <f t="shared" si="9"/>
        <v>1</v>
      </c>
    </row>
    <row r="581" spans="24:24" x14ac:dyDescent="0.3">
      <c r="X581">
        <f t="shared" si="9"/>
        <v>1</v>
      </c>
    </row>
    <row r="582" spans="24:24" x14ac:dyDescent="0.3">
      <c r="X582">
        <f t="shared" si="9"/>
        <v>1</v>
      </c>
    </row>
    <row r="583" spans="24:24" x14ac:dyDescent="0.3">
      <c r="X583">
        <f t="shared" si="9"/>
        <v>1</v>
      </c>
    </row>
    <row r="584" spans="24:24" x14ac:dyDescent="0.3">
      <c r="X584">
        <f t="shared" si="9"/>
        <v>1</v>
      </c>
    </row>
    <row r="585" spans="24:24" x14ac:dyDescent="0.3">
      <c r="X585">
        <f t="shared" si="9"/>
        <v>1</v>
      </c>
    </row>
    <row r="586" spans="24:24" x14ac:dyDescent="0.3">
      <c r="X586">
        <f t="shared" si="9"/>
        <v>1</v>
      </c>
    </row>
    <row r="587" spans="24:24" x14ac:dyDescent="0.3">
      <c r="X587">
        <f t="shared" si="9"/>
        <v>1</v>
      </c>
    </row>
    <row r="588" spans="24:24" x14ac:dyDescent="0.3">
      <c r="X588">
        <f t="shared" si="9"/>
        <v>1</v>
      </c>
    </row>
    <row r="589" spans="24:24" x14ac:dyDescent="0.3">
      <c r="X589">
        <f t="shared" si="9"/>
        <v>1</v>
      </c>
    </row>
    <row r="590" spans="24:24" x14ac:dyDescent="0.3">
      <c r="X590">
        <f t="shared" si="9"/>
        <v>1</v>
      </c>
    </row>
    <row r="591" spans="24:24" x14ac:dyDescent="0.3">
      <c r="X591">
        <f t="shared" si="9"/>
        <v>1</v>
      </c>
    </row>
    <row r="592" spans="24:24" x14ac:dyDescent="0.3">
      <c r="X592">
        <f t="shared" si="9"/>
        <v>1</v>
      </c>
    </row>
    <row r="593" spans="24:24" x14ac:dyDescent="0.3">
      <c r="X593">
        <f t="shared" si="9"/>
        <v>1</v>
      </c>
    </row>
    <row r="594" spans="24:24" x14ac:dyDescent="0.3">
      <c r="X594">
        <f t="shared" si="9"/>
        <v>1</v>
      </c>
    </row>
    <row r="595" spans="24:24" x14ac:dyDescent="0.3">
      <c r="X595">
        <f t="shared" si="9"/>
        <v>1</v>
      </c>
    </row>
    <row r="596" spans="24:24" x14ac:dyDescent="0.3">
      <c r="X596">
        <f t="shared" si="9"/>
        <v>1</v>
      </c>
    </row>
    <row r="597" spans="24:24" x14ac:dyDescent="0.3">
      <c r="X597">
        <f t="shared" si="9"/>
        <v>1</v>
      </c>
    </row>
    <row r="598" spans="24:24" x14ac:dyDescent="0.3">
      <c r="X598">
        <f t="shared" ref="X598:X661" si="10">IF(SUM(C598:W598)&lt;=5,1,0)</f>
        <v>1</v>
      </c>
    </row>
    <row r="599" spans="24:24" x14ac:dyDescent="0.3">
      <c r="X599">
        <f t="shared" si="10"/>
        <v>1</v>
      </c>
    </row>
    <row r="600" spans="24:24" x14ac:dyDescent="0.3">
      <c r="X600">
        <f t="shared" si="10"/>
        <v>1</v>
      </c>
    </row>
    <row r="601" spans="24:24" x14ac:dyDescent="0.3">
      <c r="X601">
        <f t="shared" si="10"/>
        <v>1</v>
      </c>
    </row>
    <row r="602" spans="24:24" x14ac:dyDescent="0.3">
      <c r="X602">
        <f t="shared" si="10"/>
        <v>1</v>
      </c>
    </row>
    <row r="603" spans="24:24" x14ac:dyDescent="0.3">
      <c r="X603">
        <f t="shared" si="10"/>
        <v>1</v>
      </c>
    </row>
    <row r="604" spans="24:24" x14ac:dyDescent="0.3">
      <c r="X604">
        <f t="shared" si="10"/>
        <v>1</v>
      </c>
    </row>
    <row r="605" spans="24:24" x14ac:dyDescent="0.3">
      <c r="X605">
        <f t="shared" si="10"/>
        <v>1</v>
      </c>
    </row>
    <row r="606" spans="24:24" x14ac:dyDescent="0.3">
      <c r="X606">
        <f t="shared" si="10"/>
        <v>1</v>
      </c>
    </row>
    <row r="607" spans="24:24" x14ac:dyDescent="0.3">
      <c r="X607">
        <f t="shared" si="10"/>
        <v>1</v>
      </c>
    </row>
    <row r="608" spans="24:24" x14ac:dyDescent="0.3">
      <c r="X608">
        <f t="shared" si="10"/>
        <v>1</v>
      </c>
    </row>
    <row r="609" spans="24:24" x14ac:dyDescent="0.3">
      <c r="X609">
        <f t="shared" si="10"/>
        <v>1</v>
      </c>
    </row>
    <row r="610" spans="24:24" x14ac:dyDescent="0.3">
      <c r="X610">
        <f t="shared" si="10"/>
        <v>1</v>
      </c>
    </row>
    <row r="611" spans="24:24" x14ac:dyDescent="0.3">
      <c r="X611">
        <f t="shared" si="10"/>
        <v>1</v>
      </c>
    </row>
    <row r="612" spans="24:24" x14ac:dyDescent="0.3">
      <c r="X612">
        <f t="shared" si="10"/>
        <v>1</v>
      </c>
    </row>
    <row r="613" spans="24:24" x14ac:dyDescent="0.3">
      <c r="X613">
        <f t="shared" si="10"/>
        <v>1</v>
      </c>
    </row>
    <row r="614" spans="24:24" x14ac:dyDescent="0.3">
      <c r="X614">
        <f t="shared" si="10"/>
        <v>1</v>
      </c>
    </row>
    <row r="615" spans="24:24" x14ac:dyDescent="0.3">
      <c r="X615">
        <f t="shared" si="10"/>
        <v>1</v>
      </c>
    </row>
    <row r="616" spans="24:24" x14ac:dyDescent="0.3">
      <c r="X616">
        <f t="shared" si="10"/>
        <v>1</v>
      </c>
    </row>
    <row r="617" spans="24:24" x14ac:dyDescent="0.3">
      <c r="X617">
        <f t="shared" si="10"/>
        <v>1</v>
      </c>
    </row>
    <row r="618" spans="24:24" x14ac:dyDescent="0.3">
      <c r="X618">
        <f t="shared" si="10"/>
        <v>1</v>
      </c>
    </row>
    <row r="619" spans="24:24" x14ac:dyDescent="0.3">
      <c r="X619">
        <f t="shared" si="10"/>
        <v>1</v>
      </c>
    </row>
    <row r="620" spans="24:24" x14ac:dyDescent="0.3">
      <c r="X620">
        <f t="shared" si="10"/>
        <v>1</v>
      </c>
    </row>
    <row r="621" spans="24:24" x14ac:dyDescent="0.3">
      <c r="X621">
        <f t="shared" si="10"/>
        <v>1</v>
      </c>
    </row>
    <row r="622" spans="24:24" x14ac:dyDescent="0.3">
      <c r="X622">
        <f t="shared" si="10"/>
        <v>1</v>
      </c>
    </row>
    <row r="623" spans="24:24" x14ac:dyDescent="0.3">
      <c r="X623">
        <f t="shared" si="10"/>
        <v>1</v>
      </c>
    </row>
    <row r="624" spans="24:24" x14ac:dyDescent="0.3">
      <c r="X624">
        <f t="shared" si="10"/>
        <v>1</v>
      </c>
    </row>
    <row r="625" spans="24:24" x14ac:dyDescent="0.3">
      <c r="X625">
        <f t="shared" si="10"/>
        <v>1</v>
      </c>
    </row>
    <row r="626" spans="24:24" x14ac:dyDescent="0.3">
      <c r="X626">
        <f t="shared" si="10"/>
        <v>1</v>
      </c>
    </row>
    <row r="627" spans="24:24" x14ac:dyDescent="0.3">
      <c r="X627">
        <f t="shared" si="10"/>
        <v>1</v>
      </c>
    </row>
    <row r="628" spans="24:24" x14ac:dyDescent="0.3">
      <c r="X628">
        <f t="shared" si="10"/>
        <v>1</v>
      </c>
    </row>
    <row r="629" spans="24:24" x14ac:dyDescent="0.3">
      <c r="X629">
        <f t="shared" si="10"/>
        <v>1</v>
      </c>
    </row>
    <row r="630" spans="24:24" x14ac:dyDescent="0.3">
      <c r="X630">
        <f t="shared" si="10"/>
        <v>1</v>
      </c>
    </row>
    <row r="631" spans="24:24" x14ac:dyDescent="0.3">
      <c r="X631">
        <f t="shared" si="10"/>
        <v>1</v>
      </c>
    </row>
    <row r="632" spans="24:24" x14ac:dyDescent="0.3">
      <c r="X632">
        <f t="shared" si="10"/>
        <v>1</v>
      </c>
    </row>
    <row r="633" spans="24:24" x14ac:dyDescent="0.3">
      <c r="X633">
        <f t="shared" si="10"/>
        <v>1</v>
      </c>
    </row>
    <row r="634" spans="24:24" x14ac:dyDescent="0.3">
      <c r="X634">
        <f t="shared" si="10"/>
        <v>1</v>
      </c>
    </row>
    <row r="635" spans="24:24" x14ac:dyDescent="0.3">
      <c r="X635">
        <f t="shared" si="10"/>
        <v>1</v>
      </c>
    </row>
    <row r="636" spans="24:24" x14ac:dyDescent="0.3">
      <c r="X636">
        <f t="shared" si="10"/>
        <v>1</v>
      </c>
    </row>
    <row r="637" spans="24:24" x14ac:dyDescent="0.3">
      <c r="X637">
        <f t="shared" si="10"/>
        <v>1</v>
      </c>
    </row>
    <row r="638" spans="24:24" x14ac:dyDescent="0.3">
      <c r="X638">
        <f t="shared" si="10"/>
        <v>1</v>
      </c>
    </row>
    <row r="639" spans="24:24" x14ac:dyDescent="0.3">
      <c r="X639">
        <f t="shared" si="10"/>
        <v>1</v>
      </c>
    </row>
    <row r="640" spans="24:24" x14ac:dyDescent="0.3">
      <c r="X640">
        <f t="shared" si="10"/>
        <v>1</v>
      </c>
    </row>
    <row r="641" spans="24:24" x14ac:dyDescent="0.3">
      <c r="X641">
        <f t="shared" si="10"/>
        <v>1</v>
      </c>
    </row>
    <row r="642" spans="24:24" x14ac:dyDescent="0.3">
      <c r="X642">
        <f t="shared" si="10"/>
        <v>1</v>
      </c>
    </row>
    <row r="643" spans="24:24" x14ac:dyDescent="0.3">
      <c r="X643">
        <f t="shared" si="10"/>
        <v>1</v>
      </c>
    </row>
    <row r="644" spans="24:24" x14ac:dyDescent="0.3">
      <c r="X644">
        <f t="shared" si="10"/>
        <v>1</v>
      </c>
    </row>
    <row r="645" spans="24:24" x14ac:dyDescent="0.3">
      <c r="X645">
        <f t="shared" si="10"/>
        <v>1</v>
      </c>
    </row>
    <row r="646" spans="24:24" x14ac:dyDescent="0.3">
      <c r="X646">
        <f t="shared" si="10"/>
        <v>1</v>
      </c>
    </row>
    <row r="647" spans="24:24" x14ac:dyDescent="0.3">
      <c r="X647">
        <f t="shared" si="10"/>
        <v>1</v>
      </c>
    </row>
    <row r="648" spans="24:24" x14ac:dyDescent="0.3">
      <c r="X648">
        <f t="shared" si="10"/>
        <v>1</v>
      </c>
    </row>
    <row r="649" spans="24:24" x14ac:dyDescent="0.3">
      <c r="X649">
        <f t="shared" si="10"/>
        <v>1</v>
      </c>
    </row>
    <row r="650" spans="24:24" x14ac:dyDescent="0.3">
      <c r="X650">
        <f t="shared" si="10"/>
        <v>1</v>
      </c>
    </row>
    <row r="651" spans="24:24" x14ac:dyDescent="0.3">
      <c r="X651">
        <f t="shared" si="10"/>
        <v>1</v>
      </c>
    </row>
    <row r="652" spans="24:24" x14ac:dyDescent="0.3">
      <c r="X652">
        <f t="shared" si="10"/>
        <v>1</v>
      </c>
    </row>
    <row r="653" spans="24:24" x14ac:dyDescent="0.3">
      <c r="X653">
        <f t="shared" si="10"/>
        <v>1</v>
      </c>
    </row>
    <row r="654" spans="24:24" x14ac:dyDescent="0.3">
      <c r="X654">
        <f t="shared" si="10"/>
        <v>1</v>
      </c>
    </row>
    <row r="655" spans="24:24" x14ac:dyDescent="0.3">
      <c r="X655">
        <f t="shared" si="10"/>
        <v>1</v>
      </c>
    </row>
    <row r="656" spans="24:24" x14ac:dyDescent="0.3">
      <c r="X656">
        <f t="shared" si="10"/>
        <v>1</v>
      </c>
    </row>
    <row r="657" spans="24:24" x14ac:dyDescent="0.3">
      <c r="X657">
        <f t="shared" si="10"/>
        <v>1</v>
      </c>
    </row>
    <row r="658" spans="24:24" x14ac:dyDescent="0.3">
      <c r="X658">
        <f t="shared" si="10"/>
        <v>1</v>
      </c>
    </row>
    <row r="659" spans="24:24" x14ac:dyDescent="0.3">
      <c r="X659">
        <f t="shared" si="10"/>
        <v>1</v>
      </c>
    </row>
    <row r="660" spans="24:24" x14ac:dyDescent="0.3">
      <c r="X660">
        <f t="shared" si="10"/>
        <v>1</v>
      </c>
    </row>
    <row r="661" spans="24:24" x14ac:dyDescent="0.3">
      <c r="X661">
        <f t="shared" si="10"/>
        <v>1</v>
      </c>
    </row>
    <row r="662" spans="24:24" x14ac:dyDescent="0.3">
      <c r="X662">
        <f t="shared" ref="X662:X725" si="11">IF(SUM(C662:W662)&lt;=5,1,0)</f>
        <v>1</v>
      </c>
    </row>
    <row r="663" spans="24:24" x14ac:dyDescent="0.3">
      <c r="X663">
        <f t="shared" si="11"/>
        <v>1</v>
      </c>
    </row>
    <row r="664" spans="24:24" x14ac:dyDescent="0.3">
      <c r="X664">
        <f t="shared" si="11"/>
        <v>1</v>
      </c>
    </row>
    <row r="665" spans="24:24" x14ac:dyDescent="0.3">
      <c r="X665">
        <f t="shared" si="11"/>
        <v>1</v>
      </c>
    </row>
    <row r="666" spans="24:24" x14ac:dyDescent="0.3">
      <c r="X666">
        <f t="shared" si="11"/>
        <v>1</v>
      </c>
    </row>
    <row r="667" spans="24:24" x14ac:dyDescent="0.3">
      <c r="X667">
        <f t="shared" si="11"/>
        <v>1</v>
      </c>
    </row>
    <row r="668" spans="24:24" x14ac:dyDescent="0.3">
      <c r="X668">
        <f t="shared" si="11"/>
        <v>1</v>
      </c>
    </row>
    <row r="669" spans="24:24" x14ac:dyDescent="0.3">
      <c r="X669">
        <f t="shared" si="11"/>
        <v>1</v>
      </c>
    </row>
    <row r="670" spans="24:24" x14ac:dyDescent="0.3">
      <c r="X670">
        <f t="shared" si="11"/>
        <v>1</v>
      </c>
    </row>
    <row r="671" spans="24:24" x14ac:dyDescent="0.3">
      <c r="X671">
        <f t="shared" si="11"/>
        <v>1</v>
      </c>
    </row>
    <row r="672" spans="24:24" x14ac:dyDescent="0.3">
      <c r="X672">
        <f t="shared" si="11"/>
        <v>1</v>
      </c>
    </row>
    <row r="673" spans="24:24" x14ac:dyDescent="0.3">
      <c r="X673">
        <f t="shared" si="11"/>
        <v>1</v>
      </c>
    </row>
    <row r="674" spans="24:24" x14ac:dyDescent="0.3">
      <c r="X674">
        <f t="shared" si="11"/>
        <v>1</v>
      </c>
    </row>
    <row r="675" spans="24:24" x14ac:dyDescent="0.3">
      <c r="X675">
        <f t="shared" si="11"/>
        <v>1</v>
      </c>
    </row>
    <row r="676" spans="24:24" x14ac:dyDescent="0.3">
      <c r="X676">
        <f t="shared" si="11"/>
        <v>1</v>
      </c>
    </row>
    <row r="677" spans="24:24" x14ac:dyDescent="0.3">
      <c r="X677">
        <f t="shared" si="11"/>
        <v>1</v>
      </c>
    </row>
    <row r="678" spans="24:24" x14ac:dyDescent="0.3">
      <c r="X678">
        <f t="shared" si="11"/>
        <v>1</v>
      </c>
    </row>
    <row r="679" spans="24:24" x14ac:dyDescent="0.3">
      <c r="X679">
        <f t="shared" si="11"/>
        <v>1</v>
      </c>
    </row>
    <row r="680" spans="24:24" x14ac:dyDescent="0.3">
      <c r="X680">
        <f t="shared" si="11"/>
        <v>1</v>
      </c>
    </row>
    <row r="681" spans="24:24" x14ac:dyDescent="0.3">
      <c r="X681">
        <f t="shared" si="11"/>
        <v>1</v>
      </c>
    </row>
    <row r="682" spans="24:24" x14ac:dyDescent="0.3">
      <c r="X682">
        <f t="shared" si="11"/>
        <v>1</v>
      </c>
    </row>
    <row r="683" spans="24:24" x14ac:dyDescent="0.3">
      <c r="X683">
        <f t="shared" si="11"/>
        <v>1</v>
      </c>
    </row>
    <row r="684" spans="24:24" x14ac:dyDescent="0.3">
      <c r="X684">
        <f t="shared" si="11"/>
        <v>1</v>
      </c>
    </row>
    <row r="685" spans="24:24" x14ac:dyDescent="0.3">
      <c r="X685">
        <f t="shared" si="11"/>
        <v>1</v>
      </c>
    </row>
    <row r="686" spans="24:24" x14ac:dyDescent="0.3">
      <c r="X686">
        <f t="shared" si="11"/>
        <v>1</v>
      </c>
    </row>
    <row r="687" spans="24:24" x14ac:dyDescent="0.3">
      <c r="X687">
        <f t="shared" si="11"/>
        <v>1</v>
      </c>
    </row>
    <row r="688" spans="24:24" x14ac:dyDescent="0.3">
      <c r="X688">
        <f t="shared" si="11"/>
        <v>1</v>
      </c>
    </row>
    <row r="689" spans="24:24" x14ac:dyDescent="0.3">
      <c r="X689">
        <f t="shared" si="11"/>
        <v>1</v>
      </c>
    </row>
    <row r="690" spans="24:24" x14ac:dyDescent="0.3">
      <c r="X690">
        <f t="shared" si="11"/>
        <v>1</v>
      </c>
    </row>
    <row r="691" spans="24:24" x14ac:dyDescent="0.3">
      <c r="X691">
        <f t="shared" si="11"/>
        <v>1</v>
      </c>
    </row>
    <row r="692" spans="24:24" x14ac:dyDescent="0.3">
      <c r="X692">
        <f t="shared" si="11"/>
        <v>1</v>
      </c>
    </row>
    <row r="693" spans="24:24" x14ac:dyDescent="0.3">
      <c r="X693">
        <f t="shared" si="11"/>
        <v>1</v>
      </c>
    </row>
    <row r="694" spans="24:24" x14ac:dyDescent="0.3">
      <c r="X694">
        <f t="shared" si="11"/>
        <v>1</v>
      </c>
    </row>
    <row r="695" spans="24:24" x14ac:dyDescent="0.3">
      <c r="X695">
        <f t="shared" si="11"/>
        <v>1</v>
      </c>
    </row>
    <row r="696" spans="24:24" x14ac:dyDescent="0.3">
      <c r="X696">
        <f t="shared" si="11"/>
        <v>1</v>
      </c>
    </row>
    <row r="697" spans="24:24" x14ac:dyDescent="0.3">
      <c r="X697">
        <f t="shared" si="11"/>
        <v>1</v>
      </c>
    </row>
    <row r="698" spans="24:24" x14ac:dyDescent="0.3">
      <c r="X698">
        <f t="shared" si="11"/>
        <v>1</v>
      </c>
    </row>
    <row r="699" spans="24:24" x14ac:dyDescent="0.3">
      <c r="X699">
        <f t="shared" si="11"/>
        <v>1</v>
      </c>
    </row>
    <row r="700" spans="24:24" x14ac:dyDescent="0.3">
      <c r="X700">
        <f t="shared" si="11"/>
        <v>1</v>
      </c>
    </row>
    <row r="701" spans="24:24" x14ac:dyDescent="0.3">
      <c r="X701">
        <f t="shared" si="11"/>
        <v>1</v>
      </c>
    </row>
    <row r="702" spans="24:24" x14ac:dyDescent="0.3">
      <c r="X702">
        <f t="shared" si="11"/>
        <v>1</v>
      </c>
    </row>
    <row r="703" spans="24:24" x14ac:dyDescent="0.3">
      <c r="X703">
        <f t="shared" si="11"/>
        <v>1</v>
      </c>
    </row>
    <row r="704" spans="24:24" x14ac:dyDescent="0.3">
      <c r="X704">
        <f t="shared" si="11"/>
        <v>1</v>
      </c>
    </row>
    <row r="705" spans="24:24" x14ac:dyDescent="0.3">
      <c r="X705">
        <f t="shared" si="11"/>
        <v>1</v>
      </c>
    </row>
    <row r="706" spans="24:24" x14ac:dyDescent="0.3">
      <c r="X706">
        <f t="shared" si="11"/>
        <v>1</v>
      </c>
    </row>
    <row r="707" spans="24:24" x14ac:dyDescent="0.3">
      <c r="X707">
        <f t="shared" si="11"/>
        <v>1</v>
      </c>
    </row>
    <row r="708" spans="24:24" x14ac:dyDescent="0.3">
      <c r="X708">
        <f t="shared" si="11"/>
        <v>1</v>
      </c>
    </row>
    <row r="709" spans="24:24" x14ac:dyDescent="0.3">
      <c r="X709">
        <f t="shared" si="11"/>
        <v>1</v>
      </c>
    </row>
    <row r="710" spans="24:24" x14ac:dyDescent="0.3">
      <c r="X710">
        <f t="shared" si="11"/>
        <v>1</v>
      </c>
    </row>
    <row r="711" spans="24:24" x14ac:dyDescent="0.3">
      <c r="X711">
        <f t="shared" si="11"/>
        <v>1</v>
      </c>
    </row>
    <row r="712" spans="24:24" x14ac:dyDescent="0.3">
      <c r="X712">
        <f t="shared" si="11"/>
        <v>1</v>
      </c>
    </row>
    <row r="713" spans="24:24" x14ac:dyDescent="0.3">
      <c r="X713">
        <f t="shared" si="11"/>
        <v>1</v>
      </c>
    </row>
    <row r="714" spans="24:24" x14ac:dyDescent="0.3">
      <c r="X714">
        <f t="shared" si="11"/>
        <v>1</v>
      </c>
    </row>
    <row r="715" spans="24:24" x14ac:dyDescent="0.3">
      <c r="X715">
        <f t="shared" si="11"/>
        <v>1</v>
      </c>
    </row>
    <row r="716" spans="24:24" x14ac:dyDescent="0.3">
      <c r="X716">
        <f t="shared" si="11"/>
        <v>1</v>
      </c>
    </row>
    <row r="717" spans="24:24" x14ac:dyDescent="0.3">
      <c r="X717">
        <f t="shared" si="11"/>
        <v>1</v>
      </c>
    </row>
    <row r="718" spans="24:24" x14ac:dyDescent="0.3">
      <c r="X718">
        <f t="shared" si="11"/>
        <v>1</v>
      </c>
    </row>
    <row r="719" spans="24:24" x14ac:dyDescent="0.3">
      <c r="X719">
        <f t="shared" si="11"/>
        <v>1</v>
      </c>
    </row>
    <row r="720" spans="24:24" x14ac:dyDescent="0.3">
      <c r="X720">
        <f t="shared" si="11"/>
        <v>1</v>
      </c>
    </row>
    <row r="721" spans="24:24" x14ac:dyDescent="0.3">
      <c r="X721">
        <f t="shared" si="11"/>
        <v>1</v>
      </c>
    </row>
    <row r="722" spans="24:24" x14ac:dyDescent="0.3">
      <c r="X722">
        <f t="shared" si="11"/>
        <v>1</v>
      </c>
    </row>
    <row r="723" spans="24:24" x14ac:dyDescent="0.3">
      <c r="X723">
        <f t="shared" si="11"/>
        <v>1</v>
      </c>
    </row>
    <row r="724" spans="24:24" x14ac:dyDescent="0.3">
      <c r="X724">
        <f t="shared" si="11"/>
        <v>1</v>
      </c>
    </row>
    <row r="725" spans="24:24" x14ac:dyDescent="0.3">
      <c r="X725">
        <f t="shared" si="11"/>
        <v>1</v>
      </c>
    </row>
    <row r="726" spans="24:24" x14ac:dyDescent="0.3">
      <c r="X726">
        <f t="shared" ref="X726:X789" si="12">IF(SUM(C726:W726)&lt;=5,1,0)</f>
        <v>1</v>
      </c>
    </row>
    <row r="727" spans="24:24" x14ac:dyDescent="0.3">
      <c r="X727">
        <f t="shared" si="12"/>
        <v>1</v>
      </c>
    </row>
    <row r="728" spans="24:24" x14ac:dyDescent="0.3">
      <c r="X728">
        <f t="shared" si="12"/>
        <v>1</v>
      </c>
    </row>
    <row r="729" spans="24:24" x14ac:dyDescent="0.3">
      <c r="X729">
        <f t="shared" si="12"/>
        <v>1</v>
      </c>
    </row>
    <row r="730" spans="24:24" x14ac:dyDescent="0.3">
      <c r="X730">
        <f t="shared" si="12"/>
        <v>1</v>
      </c>
    </row>
    <row r="731" spans="24:24" x14ac:dyDescent="0.3">
      <c r="X731">
        <f t="shared" si="12"/>
        <v>1</v>
      </c>
    </row>
    <row r="732" spans="24:24" x14ac:dyDescent="0.3">
      <c r="X732">
        <f t="shared" si="12"/>
        <v>1</v>
      </c>
    </row>
    <row r="733" spans="24:24" x14ac:dyDescent="0.3">
      <c r="X733">
        <f t="shared" si="12"/>
        <v>1</v>
      </c>
    </row>
    <row r="734" spans="24:24" x14ac:dyDescent="0.3">
      <c r="X734">
        <f t="shared" si="12"/>
        <v>1</v>
      </c>
    </row>
    <row r="735" spans="24:24" x14ac:dyDescent="0.3">
      <c r="X735">
        <f t="shared" si="12"/>
        <v>1</v>
      </c>
    </row>
    <row r="736" spans="24:24" x14ac:dyDescent="0.3">
      <c r="X736">
        <f t="shared" si="12"/>
        <v>1</v>
      </c>
    </row>
    <row r="737" spans="24:24" x14ac:dyDescent="0.3">
      <c r="X737">
        <f t="shared" si="12"/>
        <v>1</v>
      </c>
    </row>
    <row r="738" spans="24:24" x14ac:dyDescent="0.3">
      <c r="X738">
        <f t="shared" si="12"/>
        <v>1</v>
      </c>
    </row>
    <row r="739" spans="24:24" x14ac:dyDescent="0.3">
      <c r="X739">
        <f t="shared" si="12"/>
        <v>1</v>
      </c>
    </row>
    <row r="740" spans="24:24" x14ac:dyDescent="0.3">
      <c r="X740">
        <f t="shared" si="12"/>
        <v>1</v>
      </c>
    </row>
    <row r="741" spans="24:24" x14ac:dyDescent="0.3">
      <c r="X741">
        <f t="shared" si="12"/>
        <v>1</v>
      </c>
    </row>
    <row r="742" spans="24:24" x14ac:dyDescent="0.3">
      <c r="X742">
        <f t="shared" si="12"/>
        <v>1</v>
      </c>
    </row>
    <row r="743" spans="24:24" x14ac:dyDescent="0.3">
      <c r="X743">
        <f t="shared" si="12"/>
        <v>1</v>
      </c>
    </row>
    <row r="744" spans="24:24" x14ac:dyDescent="0.3">
      <c r="X744">
        <f t="shared" si="12"/>
        <v>1</v>
      </c>
    </row>
    <row r="745" spans="24:24" x14ac:dyDescent="0.3">
      <c r="X745">
        <f t="shared" si="12"/>
        <v>1</v>
      </c>
    </row>
    <row r="746" spans="24:24" x14ac:dyDescent="0.3">
      <c r="X746">
        <f t="shared" si="12"/>
        <v>1</v>
      </c>
    </row>
    <row r="747" spans="24:24" x14ac:dyDescent="0.3">
      <c r="X747">
        <f t="shared" si="12"/>
        <v>1</v>
      </c>
    </row>
    <row r="748" spans="24:24" x14ac:dyDescent="0.3">
      <c r="X748">
        <f t="shared" si="12"/>
        <v>1</v>
      </c>
    </row>
    <row r="749" spans="24:24" x14ac:dyDescent="0.3">
      <c r="X749">
        <f t="shared" si="12"/>
        <v>1</v>
      </c>
    </row>
    <row r="750" spans="24:24" x14ac:dyDescent="0.3">
      <c r="X750">
        <f t="shared" si="12"/>
        <v>1</v>
      </c>
    </row>
    <row r="751" spans="24:24" x14ac:dyDescent="0.3">
      <c r="X751">
        <f t="shared" si="12"/>
        <v>1</v>
      </c>
    </row>
    <row r="752" spans="24:24" x14ac:dyDescent="0.3">
      <c r="X752">
        <f t="shared" si="12"/>
        <v>1</v>
      </c>
    </row>
    <row r="753" spans="24:24" x14ac:dyDescent="0.3">
      <c r="X753">
        <f t="shared" si="12"/>
        <v>1</v>
      </c>
    </row>
    <row r="754" spans="24:24" x14ac:dyDescent="0.3">
      <c r="X754">
        <f t="shared" si="12"/>
        <v>1</v>
      </c>
    </row>
    <row r="755" spans="24:24" x14ac:dyDescent="0.3">
      <c r="X755">
        <f t="shared" si="12"/>
        <v>1</v>
      </c>
    </row>
    <row r="756" spans="24:24" x14ac:dyDescent="0.3">
      <c r="X756">
        <f t="shared" si="12"/>
        <v>1</v>
      </c>
    </row>
    <row r="757" spans="24:24" x14ac:dyDescent="0.3">
      <c r="X757">
        <f t="shared" si="12"/>
        <v>1</v>
      </c>
    </row>
    <row r="758" spans="24:24" x14ac:dyDescent="0.3">
      <c r="X758">
        <f t="shared" si="12"/>
        <v>1</v>
      </c>
    </row>
    <row r="759" spans="24:24" x14ac:dyDescent="0.3">
      <c r="X759">
        <f t="shared" si="12"/>
        <v>1</v>
      </c>
    </row>
    <row r="760" spans="24:24" x14ac:dyDescent="0.3">
      <c r="X760">
        <f t="shared" si="12"/>
        <v>1</v>
      </c>
    </row>
    <row r="761" spans="24:24" x14ac:dyDescent="0.3">
      <c r="X761">
        <f t="shared" si="12"/>
        <v>1</v>
      </c>
    </row>
    <row r="762" spans="24:24" x14ac:dyDescent="0.3">
      <c r="X762">
        <f t="shared" si="12"/>
        <v>1</v>
      </c>
    </row>
    <row r="763" spans="24:24" x14ac:dyDescent="0.3">
      <c r="X763">
        <f t="shared" si="12"/>
        <v>1</v>
      </c>
    </row>
    <row r="764" spans="24:24" x14ac:dyDescent="0.3">
      <c r="X764">
        <f t="shared" si="12"/>
        <v>1</v>
      </c>
    </row>
    <row r="765" spans="24:24" x14ac:dyDescent="0.3">
      <c r="X765">
        <f t="shared" si="12"/>
        <v>1</v>
      </c>
    </row>
    <row r="766" spans="24:24" x14ac:dyDescent="0.3">
      <c r="X766">
        <f t="shared" si="12"/>
        <v>1</v>
      </c>
    </row>
    <row r="767" spans="24:24" x14ac:dyDescent="0.3">
      <c r="X767">
        <f t="shared" si="12"/>
        <v>1</v>
      </c>
    </row>
    <row r="768" spans="24:24" x14ac:dyDescent="0.3">
      <c r="X768">
        <f t="shared" si="12"/>
        <v>1</v>
      </c>
    </row>
    <row r="769" spans="24:24" x14ac:dyDescent="0.3">
      <c r="X769">
        <f t="shared" si="12"/>
        <v>1</v>
      </c>
    </row>
    <row r="770" spans="24:24" x14ac:dyDescent="0.3">
      <c r="X770">
        <f t="shared" si="12"/>
        <v>1</v>
      </c>
    </row>
    <row r="771" spans="24:24" x14ac:dyDescent="0.3">
      <c r="X771">
        <f t="shared" si="12"/>
        <v>1</v>
      </c>
    </row>
    <row r="772" spans="24:24" x14ac:dyDescent="0.3">
      <c r="X772">
        <f t="shared" si="12"/>
        <v>1</v>
      </c>
    </row>
    <row r="773" spans="24:24" x14ac:dyDescent="0.3">
      <c r="X773">
        <f t="shared" si="12"/>
        <v>1</v>
      </c>
    </row>
    <row r="774" spans="24:24" x14ac:dyDescent="0.3">
      <c r="X774">
        <f t="shared" si="12"/>
        <v>1</v>
      </c>
    </row>
    <row r="775" spans="24:24" x14ac:dyDescent="0.3">
      <c r="X775">
        <f t="shared" si="12"/>
        <v>1</v>
      </c>
    </row>
    <row r="776" spans="24:24" x14ac:dyDescent="0.3">
      <c r="X776">
        <f t="shared" si="12"/>
        <v>1</v>
      </c>
    </row>
    <row r="777" spans="24:24" x14ac:dyDescent="0.3">
      <c r="X777">
        <f t="shared" si="12"/>
        <v>1</v>
      </c>
    </row>
    <row r="778" spans="24:24" x14ac:dyDescent="0.3">
      <c r="X778">
        <f t="shared" si="12"/>
        <v>1</v>
      </c>
    </row>
    <row r="779" spans="24:24" x14ac:dyDescent="0.3">
      <c r="X779">
        <f t="shared" si="12"/>
        <v>1</v>
      </c>
    </row>
    <row r="780" spans="24:24" x14ac:dyDescent="0.3">
      <c r="X780">
        <f t="shared" si="12"/>
        <v>1</v>
      </c>
    </row>
    <row r="781" spans="24:24" x14ac:dyDescent="0.3">
      <c r="X781">
        <f t="shared" si="12"/>
        <v>1</v>
      </c>
    </row>
    <row r="782" spans="24:24" x14ac:dyDescent="0.3">
      <c r="X782">
        <f t="shared" si="12"/>
        <v>1</v>
      </c>
    </row>
    <row r="783" spans="24:24" x14ac:dyDescent="0.3">
      <c r="X783">
        <f t="shared" si="12"/>
        <v>1</v>
      </c>
    </row>
    <row r="784" spans="24:24" x14ac:dyDescent="0.3">
      <c r="X784">
        <f t="shared" si="12"/>
        <v>1</v>
      </c>
    </row>
    <row r="785" spans="24:24" x14ac:dyDescent="0.3">
      <c r="X785">
        <f t="shared" si="12"/>
        <v>1</v>
      </c>
    </row>
    <row r="786" spans="24:24" x14ac:dyDescent="0.3">
      <c r="X786">
        <f t="shared" si="12"/>
        <v>1</v>
      </c>
    </row>
    <row r="787" spans="24:24" x14ac:dyDescent="0.3">
      <c r="X787">
        <f t="shared" si="12"/>
        <v>1</v>
      </c>
    </row>
    <row r="788" spans="24:24" x14ac:dyDescent="0.3">
      <c r="X788">
        <f t="shared" si="12"/>
        <v>1</v>
      </c>
    </row>
    <row r="789" spans="24:24" x14ac:dyDescent="0.3">
      <c r="X789">
        <f t="shared" si="12"/>
        <v>1</v>
      </c>
    </row>
    <row r="790" spans="24:24" x14ac:dyDescent="0.3">
      <c r="X790">
        <f t="shared" ref="X790:X853" si="13">IF(SUM(C790:W790)&lt;=5,1,0)</f>
        <v>1</v>
      </c>
    </row>
    <row r="791" spans="24:24" x14ac:dyDescent="0.3">
      <c r="X791">
        <f t="shared" si="13"/>
        <v>1</v>
      </c>
    </row>
    <row r="792" spans="24:24" x14ac:dyDescent="0.3">
      <c r="X792">
        <f t="shared" si="13"/>
        <v>1</v>
      </c>
    </row>
    <row r="793" spans="24:24" x14ac:dyDescent="0.3">
      <c r="X793">
        <f t="shared" si="13"/>
        <v>1</v>
      </c>
    </row>
    <row r="794" spans="24:24" x14ac:dyDescent="0.3">
      <c r="X794">
        <f t="shared" si="13"/>
        <v>1</v>
      </c>
    </row>
    <row r="795" spans="24:24" x14ac:dyDescent="0.3">
      <c r="X795">
        <f t="shared" si="13"/>
        <v>1</v>
      </c>
    </row>
    <row r="796" spans="24:24" x14ac:dyDescent="0.3">
      <c r="X796">
        <f t="shared" si="13"/>
        <v>1</v>
      </c>
    </row>
    <row r="797" spans="24:24" x14ac:dyDescent="0.3">
      <c r="X797">
        <f t="shared" si="13"/>
        <v>1</v>
      </c>
    </row>
    <row r="798" spans="24:24" x14ac:dyDescent="0.3">
      <c r="X798">
        <f t="shared" si="13"/>
        <v>1</v>
      </c>
    </row>
    <row r="799" spans="24:24" x14ac:dyDescent="0.3">
      <c r="X799">
        <f t="shared" si="13"/>
        <v>1</v>
      </c>
    </row>
    <row r="800" spans="24:24" x14ac:dyDescent="0.3">
      <c r="X800">
        <f t="shared" si="13"/>
        <v>1</v>
      </c>
    </row>
    <row r="801" spans="24:24" x14ac:dyDescent="0.3">
      <c r="X801">
        <f t="shared" si="13"/>
        <v>1</v>
      </c>
    </row>
    <row r="802" spans="24:24" x14ac:dyDescent="0.3">
      <c r="X802">
        <f t="shared" si="13"/>
        <v>1</v>
      </c>
    </row>
    <row r="803" spans="24:24" x14ac:dyDescent="0.3">
      <c r="X803">
        <f t="shared" si="13"/>
        <v>1</v>
      </c>
    </row>
    <row r="804" spans="24:24" x14ac:dyDescent="0.3">
      <c r="X804">
        <f t="shared" si="13"/>
        <v>1</v>
      </c>
    </row>
    <row r="805" spans="24:24" x14ac:dyDescent="0.3">
      <c r="X805">
        <f t="shared" si="13"/>
        <v>1</v>
      </c>
    </row>
    <row r="806" spans="24:24" x14ac:dyDescent="0.3">
      <c r="X806">
        <f t="shared" si="13"/>
        <v>1</v>
      </c>
    </row>
    <row r="807" spans="24:24" x14ac:dyDescent="0.3">
      <c r="X807">
        <f t="shared" si="13"/>
        <v>1</v>
      </c>
    </row>
    <row r="808" spans="24:24" x14ac:dyDescent="0.3">
      <c r="X808">
        <f t="shared" si="13"/>
        <v>1</v>
      </c>
    </row>
    <row r="809" spans="24:24" x14ac:dyDescent="0.3">
      <c r="X809">
        <f t="shared" si="13"/>
        <v>1</v>
      </c>
    </row>
    <row r="810" spans="24:24" x14ac:dyDescent="0.3">
      <c r="X810">
        <f t="shared" si="13"/>
        <v>1</v>
      </c>
    </row>
    <row r="811" spans="24:24" x14ac:dyDescent="0.3">
      <c r="X811">
        <f t="shared" si="13"/>
        <v>1</v>
      </c>
    </row>
    <row r="812" spans="24:24" x14ac:dyDescent="0.3">
      <c r="X812">
        <f t="shared" si="13"/>
        <v>1</v>
      </c>
    </row>
    <row r="813" spans="24:24" x14ac:dyDescent="0.3">
      <c r="X813">
        <f t="shared" si="13"/>
        <v>1</v>
      </c>
    </row>
    <row r="814" spans="24:24" x14ac:dyDescent="0.3">
      <c r="X814">
        <f t="shared" si="13"/>
        <v>1</v>
      </c>
    </row>
    <row r="815" spans="24:24" x14ac:dyDescent="0.3">
      <c r="X815">
        <f t="shared" si="13"/>
        <v>1</v>
      </c>
    </row>
    <row r="816" spans="24:24" x14ac:dyDescent="0.3">
      <c r="X816">
        <f t="shared" si="13"/>
        <v>1</v>
      </c>
    </row>
    <row r="817" spans="24:24" x14ac:dyDescent="0.3">
      <c r="X817">
        <f t="shared" si="13"/>
        <v>1</v>
      </c>
    </row>
    <row r="818" spans="24:24" x14ac:dyDescent="0.3">
      <c r="X818">
        <f t="shared" si="13"/>
        <v>1</v>
      </c>
    </row>
    <row r="819" spans="24:24" x14ac:dyDescent="0.3">
      <c r="X819">
        <f t="shared" si="13"/>
        <v>1</v>
      </c>
    </row>
    <row r="820" spans="24:24" x14ac:dyDescent="0.3">
      <c r="X820">
        <f t="shared" si="13"/>
        <v>1</v>
      </c>
    </row>
    <row r="821" spans="24:24" x14ac:dyDescent="0.3">
      <c r="X821">
        <f t="shared" si="13"/>
        <v>1</v>
      </c>
    </row>
    <row r="822" spans="24:24" x14ac:dyDescent="0.3">
      <c r="X822">
        <f t="shared" si="13"/>
        <v>1</v>
      </c>
    </row>
    <row r="823" spans="24:24" x14ac:dyDescent="0.3">
      <c r="X823">
        <f t="shared" si="13"/>
        <v>1</v>
      </c>
    </row>
    <row r="824" spans="24:24" x14ac:dyDescent="0.3">
      <c r="X824">
        <f t="shared" si="13"/>
        <v>1</v>
      </c>
    </row>
    <row r="825" spans="24:24" x14ac:dyDescent="0.3">
      <c r="X825">
        <f t="shared" si="13"/>
        <v>1</v>
      </c>
    </row>
    <row r="826" spans="24:24" x14ac:dyDescent="0.3">
      <c r="X826">
        <f t="shared" si="13"/>
        <v>1</v>
      </c>
    </row>
    <row r="827" spans="24:24" x14ac:dyDescent="0.3">
      <c r="X827">
        <f t="shared" si="13"/>
        <v>1</v>
      </c>
    </row>
    <row r="828" spans="24:24" x14ac:dyDescent="0.3">
      <c r="X828">
        <f t="shared" si="13"/>
        <v>1</v>
      </c>
    </row>
    <row r="829" spans="24:24" x14ac:dyDescent="0.3">
      <c r="X829">
        <f t="shared" si="13"/>
        <v>1</v>
      </c>
    </row>
    <row r="830" spans="24:24" x14ac:dyDescent="0.3">
      <c r="X830">
        <f t="shared" si="13"/>
        <v>1</v>
      </c>
    </row>
    <row r="831" spans="24:24" x14ac:dyDescent="0.3">
      <c r="X831">
        <f t="shared" si="13"/>
        <v>1</v>
      </c>
    </row>
    <row r="832" spans="24:24" x14ac:dyDescent="0.3">
      <c r="X832">
        <f t="shared" si="13"/>
        <v>1</v>
      </c>
    </row>
    <row r="833" spans="24:24" x14ac:dyDescent="0.3">
      <c r="X833">
        <f t="shared" si="13"/>
        <v>1</v>
      </c>
    </row>
    <row r="834" spans="24:24" x14ac:dyDescent="0.3">
      <c r="X834">
        <f t="shared" si="13"/>
        <v>1</v>
      </c>
    </row>
    <row r="835" spans="24:24" x14ac:dyDescent="0.3">
      <c r="X835">
        <f t="shared" si="13"/>
        <v>1</v>
      </c>
    </row>
    <row r="836" spans="24:24" x14ac:dyDescent="0.3">
      <c r="X836">
        <f t="shared" si="13"/>
        <v>1</v>
      </c>
    </row>
    <row r="837" spans="24:24" x14ac:dyDescent="0.3">
      <c r="X837">
        <f t="shared" si="13"/>
        <v>1</v>
      </c>
    </row>
    <row r="838" spans="24:24" x14ac:dyDescent="0.3">
      <c r="X838">
        <f t="shared" si="13"/>
        <v>1</v>
      </c>
    </row>
    <row r="839" spans="24:24" x14ac:dyDescent="0.3">
      <c r="X839">
        <f t="shared" si="13"/>
        <v>1</v>
      </c>
    </row>
    <row r="840" spans="24:24" x14ac:dyDescent="0.3">
      <c r="X840">
        <f t="shared" si="13"/>
        <v>1</v>
      </c>
    </row>
    <row r="841" spans="24:24" x14ac:dyDescent="0.3">
      <c r="X841">
        <f t="shared" si="13"/>
        <v>1</v>
      </c>
    </row>
    <row r="842" spans="24:24" x14ac:dyDescent="0.3">
      <c r="X842">
        <f t="shared" si="13"/>
        <v>1</v>
      </c>
    </row>
    <row r="843" spans="24:24" x14ac:dyDescent="0.3">
      <c r="X843">
        <f t="shared" si="13"/>
        <v>1</v>
      </c>
    </row>
    <row r="844" spans="24:24" x14ac:dyDescent="0.3">
      <c r="X844">
        <f t="shared" si="13"/>
        <v>1</v>
      </c>
    </row>
    <row r="845" spans="24:24" x14ac:dyDescent="0.3">
      <c r="X845">
        <f t="shared" si="13"/>
        <v>1</v>
      </c>
    </row>
    <row r="846" spans="24:24" x14ac:dyDescent="0.3">
      <c r="X846">
        <f t="shared" si="13"/>
        <v>1</v>
      </c>
    </row>
    <row r="847" spans="24:24" x14ac:dyDescent="0.3">
      <c r="X847">
        <f t="shared" si="13"/>
        <v>1</v>
      </c>
    </row>
    <row r="848" spans="24:24" x14ac:dyDescent="0.3">
      <c r="X848">
        <f t="shared" si="13"/>
        <v>1</v>
      </c>
    </row>
    <row r="849" spans="24:24" x14ac:dyDescent="0.3">
      <c r="X849">
        <f t="shared" si="13"/>
        <v>1</v>
      </c>
    </row>
    <row r="850" spans="24:24" x14ac:dyDescent="0.3">
      <c r="X850">
        <f t="shared" si="13"/>
        <v>1</v>
      </c>
    </row>
    <row r="851" spans="24:24" x14ac:dyDescent="0.3">
      <c r="X851">
        <f t="shared" si="13"/>
        <v>1</v>
      </c>
    </row>
    <row r="852" spans="24:24" x14ac:dyDescent="0.3">
      <c r="X852">
        <f t="shared" si="13"/>
        <v>1</v>
      </c>
    </row>
    <row r="853" spans="24:24" x14ac:dyDescent="0.3">
      <c r="X853">
        <f t="shared" si="13"/>
        <v>1</v>
      </c>
    </row>
    <row r="854" spans="24:24" x14ac:dyDescent="0.3">
      <c r="X854">
        <f t="shared" ref="X854:X917" si="14">IF(SUM(C854:W854)&lt;=5,1,0)</f>
        <v>1</v>
      </c>
    </row>
    <row r="855" spans="24:24" x14ac:dyDescent="0.3">
      <c r="X855">
        <f t="shared" si="14"/>
        <v>1</v>
      </c>
    </row>
    <row r="856" spans="24:24" x14ac:dyDescent="0.3">
      <c r="X856">
        <f t="shared" si="14"/>
        <v>1</v>
      </c>
    </row>
    <row r="857" spans="24:24" x14ac:dyDescent="0.3">
      <c r="X857">
        <f t="shared" si="14"/>
        <v>1</v>
      </c>
    </row>
    <row r="858" spans="24:24" x14ac:dyDescent="0.3">
      <c r="X858">
        <f t="shared" si="14"/>
        <v>1</v>
      </c>
    </row>
    <row r="859" spans="24:24" x14ac:dyDescent="0.3">
      <c r="X859">
        <f t="shared" si="14"/>
        <v>1</v>
      </c>
    </row>
    <row r="860" spans="24:24" x14ac:dyDescent="0.3">
      <c r="X860">
        <f t="shared" si="14"/>
        <v>1</v>
      </c>
    </row>
    <row r="861" spans="24:24" x14ac:dyDescent="0.3">
      <c r="X861">
        <f t="shared" si="14"/>
        <v>1</v>
      </c>
    </row>
    <row r="862" spans="24:24" x14ac:dyDescent="0.3">
      <c r="X862">
        <f t="shared" si="14"/>
        <v>1</v>
      </c>
    </row>
    <row r="863" spans="24:24" x14ac:dyDescent="0.3">
      <c r="X863">
        <f t="shared" si="14"/>
        <v>1</v>
      </c>
    </row>
    <row r="864" spans="24:24" x14ac:dyDescent="0.3">
      <c r="X864">
        <f t="shared" si="14"/>
        <v>1</v>
      </c>
    </row>
    <row r="865" spans="24:24" x14ac:dyDescent="0.3">
      <c r="X865">
        <f t="shared" si="14"/>
        <v>1</v>
      </c>
    </row>
    <row r="866" spans="24:24" x14ac:dyDescent="0.3">
      <c r="X866">
        <f t="shared" si="14"/>
        <v>1</v>
      </c>
    </row>
    <row r="867" spans="24:24" x14ac:dyDescent="0.3">
      <c r="X867">
        <f t="shared" si="14"/>
        <v>1</v>
      </c>
    </row>
    <row r="868" spans="24:24" x14ac:dyDescent="0.3">
      <c r="X868">
        <f t="shared" si="14"/>
        <v>1</v>
      </c>
    </row>
    <row r="869" spans="24:24" x14ac:dyDescent="0.3">
      <c r="X869">
        <f t="shared" si="14"/>
        <v>1</v>
      </c>
    </row>
    <row r="870" spans="24:24" x14ac:dyDescent="0.3">
      <c r="X870">
        <f t="shared" si="14"/>
        <v>1</v>
      </c>
    </row>
    <row r="871" spans="24:24" x14ac:dyDescent="0.3">
      <c r="X871">
        <f t="shared" si="14"/>
        <v>1</v>
      </c>
    </row>
    <row r="872" spans="24:24" x14ac:dyDescent="0.3">
      <c r="X872">
        <f t="shared" si="14"/>
        <v>1</v>
      </c>
    </row>
    <row r="873" spans="24:24" x14ac:dyDescent="0.3">
      <c r="X873">
        <f t="shared" si="14"/>
        <v>1</v>
      </c>
    </row>
    <row r="874" spans="24:24" x14ac:dyDescent="0.3">
      <c r="X874">
        <f t="shared" si="14"/>
        <v>1</v>
      </c>
    </row>
    <row r="875" spans="24:24" x14ac:dyDescent="0.3">
      <c r="X875">
        <f t="shared" si="14"/>
        <v>1</v>
      </c>
    </row>
    <row r="876" spans="24:24" x14ac:dyDescent="0.3">
      <c r="X876">
        <f t="shared" si="14"/>
        <v>1</v>
      </c>
    </row>
    <row r="877" spans="24:24" x14ac:dyDescent="0.3">
      <c r="X877">
        <f t="shared" si="14"/>
        <v>1</v>
      </c>
    </row>
    <row r="878" spans="24:24" x14ac:dyDescent="0.3">
      <c r="X878">
        <f t="shared" si="14"/>
        <v>1</v>
      </c>
    </row>
    <row r="879" spans="24:24" x14ac:dyDescent="0.3">
      <c r="X879">
        <f t="shared" si="14"/>
        <v>1</v>
      </c>
    </row>
    <row r="880" spans="24:24" x14ac:dyDescent="0.3">
      <c r="X880">
        <f t="shared" si="14"/>
        <v>1</v>
      </c>
    </row>
    <row r="881" spans="24:24" x14ac:dyDescent="0.3">
      <c r="X881">
        <f t="shared" si="14"/>
        <v>1</v>
      </c>
    </row>
    <row r="882" spans="24:24" x14ac:dyDescent="0.3">
      <c r="X882">
        <f t="shared" si="14"/>
        <v>1</v>
      </c>
    </row>
    <row r="883" spans="24:24" x14ac:dyDescent="0.3">
      <c r="X883">
        <f t="shared" si="14"/>
        <v>1</v>
      </c>
    </row>
    <row r="884" spans="24:24" x14ac:dyDescent="0.3">
      <c r="X884">
        <f t="shared" si="14"/>
        <v>1</v>
      </c>
    </row>
    <row r="885" spans="24:24" x14ac:dyDescent="0.3">
      <c r="X885">
        <f t="shared" si="14"/>
        <v>1</v>
      </c>
    </row>
    <row r="886" spans="24:24" x14ac:dyDescent="0.3">
      <c r="X886">
        <f t="shared" si="14"/>
        <v>1</v>
      </c>
    </row>
    <row r="887" spans="24:24" x14ac:dyDescent="0.3">
      <c r="X887">
        <f t="shared" si="14"/>
        <v>1</v>
      </c>
    </row>
    <row r="888" spans="24:24" x14ac:dyDescent="0.3">
      <c r="X888">
        <f t="shared" si="14"/>
        <v>1</v>
      </c>
    </row>
    <row r="889" spans="24:24" x14ac:dyDescent="0.3">
      <c r="X889">
        <f t="shared" si="14"/>
        <v>1</v>
      </c>
    </row>
    <row r="890" spans="24:24" x14ac:dyDescent="0.3">
      <c r="X890">
        <f t="shared" si="14"/>
        <v>1</v>
      </c>
    </row>
    <row r="891" spans="24:24" x14ac:dyDescent="0.3">
      <c r="X891">
        <f t="shared" si="14"/>
        <v>1</v>
      </c>
    </row>
    <row r="892" spans="24:24" x14ac:dyDescent="0.3">
      <c r="X892">
        <f t="shared" si="14"/>
        <v>1</v>
      </c>
    </row>
    <row r="893" spans="24:24" x14ac:dyDescent="0.3">
      <c r="X893">
        <f t="shared" si="14"/>
        <v>1</v>
      </c>
    </row>
    <row r="894" spans="24:24" x14ac:dyDescent="0.3">
      <c r="X894">
        <f t="shared" si="14"/>
        <v>1</v>
      </c>
    </row>
    <row r="895" spans="24:24" x14ac:dyDescent="0.3">
      <c r="X895">
        <f t="shared" si="14"/>
        <v>1</v>
      </c>
    </row>
    <row r="896" spans="24:24" x14ac:dyDescent="0.3">
      <c r="X896">
        <f t="shared" si="14"/>
        <v>1</v>
      </c>
    </row>
    <row r="897" spans="24:24" x14ac:dyDescent="0.3">
      <c r="X897">
        <f t="shared" si="14"/>
        <v>1</v>
      </c>
    </row>
    <row r="898" spans="24:24" x14ac:dyDescent="0.3">
      <c r="X898">
        <f t="shared" si="14"/>
        <v>1</v>
      </c>
    </row>
    <row r="899" spans="24:24" x14ac:dyDescent="0.3">
      <c r="X899">
        <f t="shared" si="14"/>
        <v>1</v>
      </c>
    </row>
    <row r="900" spans="24:24" x14ac:dyDescent="0.3">
      <c r="X900">
        <f t="shared" si="14"/>
        <v>1</v>
      </c>
    </row>
    <row r="901" spans="24:24" x14ac:dyDescent="0.3">
      <c r="X901">
        <f t="shared" si="14"/>
        <v>1</v>
      </c>
    </row>
    <row r="902" spans="24:24" x14ac:dyDescent="0.3">
      <c r="X902">
        <f t="shared" si="14"/>
        <v>1</v>
      </c>
    </row>
    <row r="903" spans="24:24" x14ac:dyDescent="0.3">
      <c r="X903">
        <f t="shared" si="14"/>
        <v>1</v>
      </c>
    </row>
    <row r="904" spans="24:24" x14ac:dyDescent="0.3">
      <c r="X904">
        <f t="shared" si="14"/>
        <v>1</v>
      </c>
    </row>
    <row r="905" spans="24:24" x14ac:dyDescent="0.3">
      <c r="X905">
        <f t="shared" si="14"/>
        <v>1</v>
      </c>
    </row>
    <row r="906" spans="24:24" x14ac:dyDescent="0.3">
      <c r="X906">
        <f t="shared" si="14"/>
        <v>1</v>
      </c>
    </row>
    <row r="907" spans="24:24" x14ac:dyDescent="0.3">
      <c r="X907">
        <f t="shared" si="14"/>
        <v>1</v>
      </c>
    </row>
    <row r="908" spans="24:24" x14ac:dyDescent="0.3">
      <c r="X908">
        <f t="shared" si="14"/>
        <v>1</v>
      </c>
    </row>
    <row r="909" spans="24:24" x14ac:dyDescent="0.3">
      <c r="X909">
        <f t="shared" si="14"/>
        <v>1</v>
      </c>
    </row>
    <row r="910" spans="24:24" x14ac:dyDescent="0.3">
      <c r="X910">
        <f t="shared" si="14"/>
        <v>1</v>
      </c>
    </row>
    <row r="911" spans="24:24" x14ac:dyDescent="0.3">
      <c r="X911">
        <f t="shared" si="14"/>
        <v>1</v>
      </c>
    </row>
    <row r="912" spans="24:24" x14ac:dyDescent="0.3">
      <c r="X912">
        <f t="shared" si="14"/>
        <v>1</v>
      </c>
    </row>
    <row r="913" spans="24:24" x14ac:dyDescent="0.3">
      <c r="X913">
        <f t="shared" si="14"/>
        <v>1</v>
      </c>
    </row>
    <row r="914" spans="24:24" x14ac:dyDescent="0.3">
      <c r="X914">
        <f t="shared" si="14"/>
        <v>1</v>
      </c>
    </row>
    <row r="915" spans="24:24" x14ac:dyDescent="0.3">
      <c r="X915">
        <f t="shared" si="14"/>
        <v>1</v>
      </c>
    </row>
    <row r="916" spans="24:24" x14ac:dyDescent="0.3">
      <c r="X916">
        <f t="shared" si="14"/>
        <v>1</v>
      </c>
    </row>
    <row r="917" spans="24:24" x14ac:dyDescent="0.3">
      <c r="X917">
        <f t="shared" si="14"/>
        <v>1</v>
      </c>
    </row>
    <row r="918" spans="24:24" x14ac:dyDescent="0.3">
      <c r="X918">
        <f t="shared" ref="X918:X981" si="15">IF(SUM(C918:W918)&lt;=5,1,0)</f>
        <v>1</v>
      </c>
    </row>
    <row r="919" spans="24:24" x14ac:dyDescent="0.3">
      <c r="X919">
        <f t="shared" si="15"/>
        <v>1</v>
      </c>
    </row>
    <row r="920" spans="24:24" x14ac:dyDescent="0.3">
      <c r="X920">
        <f t="shared" si="15"/>
        <v>1</v>
      </c>
    </row>
    <row r="921" spans="24:24" x14ac:dyDescent="0.3">
      <c r="X921">
        <f t="shared" si="15"/>
        <v>1</v>
      </c>
    </row>
    <row r="922" spans="24:24" x14ac:dyDescent="0.3">
      <c r="X922">
        <f t="shared" si="15"/>
        <v>1</v>
      </c>
    </row>
    <row r="923" spans="24:24" x14ac:dyDescent="0.3">
      <c r="X923">
        <f t="shared" si="15"/>
        <v>1</v>
      </c>
    </row>
    <row r="924" spans="24:24" x14ac:dyDescent="0.3">
      <c r="X924">
        <f t="shared" si="15"/>
        <v>1</v>
      </c>
    </row>
    <row r="925" spans="24:24" x14ac:dyDescent="0.3">
      <c r="X925">
        <f t="shared" si="15"/>
        <v>1</v>
      </c>
    </row>
    <row r="926" spans="24:24" x14ac:dyDescent="0.3">
      <c r="X926">
        <f t="shared" si="15"/>
        <v>1</v>
      </c>
    </row>
    <row r="927" spans="24:24" x14ac:dyDescent="0.3">
      <c r="X927">
        <f t="shared" si="15"/>
        <v>1</v>
      </c>
    </row>
    <row r="928" spans="24:24" x14ac:dyDescent="0.3">
      <c r="X928">
        <f t="shared" si="15"/>
        <v>1</v>
      </c>
    </row>
    <row r="929" spans="24:24" x14ac:dyDescent="0.3">
      <c r="X929">
        <f t="shared" si="15"/>
        <v>1</v>
      </c>
    </row>
    <row r="930" spans="24:24" x14ac:dyDescent="0.3">
      <c r="X930">
        <f t="shared" si="15"/>
        <v>1</v>
      </c>
    </row>
    <row r="931" spans="24:24" x14ac:dyDescent="0.3">
      <c r="X931">
        <f t="shared" si="15"/>
        <v>1</v>
      </c>
    </row>
    <row r="932" spans="24:24" x14ac:dyDescent="0.3">
      <c r="X932">
        <f t="shared" si="15"/>
        <v>1</v>
      </c>
    </row>
    <row r="933" spans="24:24" x14ac:dyDescent="0.3">
      <c r="X933">
        <f t="shared" si="15"/>
        <v>1</v>
      </c>
    </row>
    <row r="934" spans="24:24" x14ac:dyDescent="0.3">
      <c r="X934">
        <f t="shared" si="15"/>
        <v>1</v>
      </c>
    </row>
    <row r="935" spans="24:24" x14ac:dyDescent="0.3">
      <c r="X935">
        <f t="shared" si="15"/>
        <v>1</v>
      </c>
    </row>
    <row r="936" spans="24:24" x14ac:dyDescent="0.3">
      <c r="X936">
        <f t="shared" si="15"/>
        <v>1</v>
      </c>
    </row>
    <row r="937" spans="24:24" x14ac:dyDescent="0.3">
      <c r="X937">
        <f t="shared" si="15"/>
        <v>1</v>
      </c>
    </row>
    <row r="938" spans="24:24" x14ac:dyDescent="0.3">
      <c r="X938">
        <f t="shared" si="15"/>
        <v>1</v>
      </c>
    </row>
    <row r="939" spans="24:24" x14ac:dyDescent="0.3">
      <c r="X939">
        <f t="shared" si="15"/>
        <v>1</v>
      </c>
    </row>
    <row r="940" spans="24:24" x14ac:dyDescent="0.3">
      <c r="X940">
        <f t="shared" si="15"/>
        <v>1</v>
      </c>
    </row>
    <row r="941" spans="24:24" x14ac:dyDescent="0.3">
      <c r="X941">
        <f t="shared" si="15"/>
        <v>1</v>
      </c>
    </row>
    <row r="942" spans="24:24" x14ac:dyDescent="0.3">
      <c r="X942">
        <f t="shared" si="15"/>
        <v>1</v>
      </c>
    </row>
    <row r="943" spans="24:24" x14ac:dyDescent="0.3">
      <c r="X943">
        <f t="shared" si="15"/>
        <v>1</v>
      </c>
    </row>
    <row r="944" spans="24:24" x14ac:dyDescent="0.3">
      <c r="X944">
        <f t="shared" si="15"/>
        <v>1</v>
      </c>
    </row>
    <row r="945" spans="24:24" x14ac:dyDescent="0.3">
      <c r="X945">
        <f t="shared" si="15"/>
        <v>1</v>
      </c>
    </row>
    <row r="946" spans="24:24" x14ac:dyDescent="0.3">
      <c r="X946">
        <f t="shared" si="15"/>
        <v>1</v>
      </c>
    </row>
    <row r="947" spans="24:24" x14ac:dyDescent="0.3">
      <c r="X947">
        <f t="shared" si="15"/>
        <v>1</v>
      </c>
    </row>
    <row r="948" spans="24:24" x14ac:dyDescent="0.3">
      <c r="X948">
        <f t="shared" si="15"/>
        <v>1</v>
      </c>
    </row>
    <row r="949" spans="24:24" x14ac:dyDescent="0.3">
      <c r="X949">
        <f t="shared" si="15"/>
        <v>1</v>
      </c>
    </row>
    <row r="950" spans="24:24" x14ac:dyDescent="0.3">
      <c r="X950">
        <f t="shared" si="15"/>
        <v>1</v>
      </c>
    </row>
    <row r="951" spans="24:24" x14ac:dyDescent="0.3">
      <c r="X951">
        <f t="shared" si="15"/>
        <v>1</v>
      </c>
    </row>
    <row r="952" spans="24:24" x14ac:dyDescent="0.3">
      <c r="X952">
        <f t="shared" si="15"/>
        <v>1</v>
      </c>
    </row>
    <row r="953" spans="24:24" x14ac:dyDescent="0.3">
      <c r="X953">
        <f t="shared" si="15"/>
        <v>1</v>
      </c>
    </row>
    <row r="954" spans="24:24" x14ac:dyDescent="0.3">
      <c r="X954">
        <f t="shared" si="15"/>
        <v>1</v>
      </c>
    </row>
    <row r="955" spans="24:24" x14ac:dyDescent="0.3">
      <c r="X955">
        <f t="shared" si="15"/>
        <v>1</v>
      </c>
    </row>
    <row r="956" spans="24:24" x14ac:dyDescent="0.3">
      <c r="X956">
        <f t="shared" si="15"/>
        <v>1</v>
      </c>
    </row>
    <row r="957" spans="24:24" x14ac:dyDescent="0.3">
      <c r="X957">
        <f t="shared" si="15"/>
        <v>1</v>
      </c>
    </row>
    <row r="958" spans="24:24" x14ac:dyDescent="0.3">
      <c r="X958">
        <f t="shared" si="15"/>
        <v>1</v>
      </c>
    </row>
    <row r="959" spans="24:24" x14ac:dyDescent="0.3">
      <c r="X959">
        <f t="shared" si="15"/>
        <v>1</v>
      </c>
    </row>
    <row r="960" spans="24:24" x14ac:dyDescent="0.3">
      <c r="X960">
        <f t="shared" si="15"/>
        <v>1</v>
      </c>
    </row>
    <row r="961" spans="24:24" x14ac:dyDescent="0.3">
      <c r="X961">
        <f t="shared" si="15"/>
        <v>1</v>
      </c>
    </row>
    <row r="962" spans="24:24" x14ac:dyDescent="0.3">
      <c r="X962">
        <f t="shared" si="15"/>
        <v>1</v>
      </c>
    </row>
    <row r="963" spans="24:24" x14ac:dyDescent="0.3">
      <c r="X963">
        <f t="shared" si="15"/>
        <v>1</v>
      </c>
    </row>
    <row r="964" spans="24:24" x14ac:dyDescent="0.3">
      <c r="X964">
        <f t="shared" si="15"/>
        <v>1</v>
      </c>
    </row>
    <row r="965" spans="24:24" x14ac:dyDescent="0.3">
      <c r="X965">
        <f t="shared" si="15"/>
        <v>1</v>
      </c>
    </row>
    <row r="966" spans="24:24" x14ac:dyDescent="0.3">
      <c r="X966">
        <f t="shared" si="15"/>
        <v>1</v>
      </c>
    </row>
    <row r="967" spans="24:24" x14ac:dyDescent="0.3">
      <c r="X967">
        <f t="shared" si="15"/>
        <v>1</v>
      </c>
    </row>
    <row r="968" spans="24:24" x14ac:dyDescent="0.3">
      <c r="X968">
        <f t="shared" si="15"/>
        <v>1</v>
      </c>
    </row>
    <row r="969" spans="24:24" x14ac:dyDescent="0.3">
      <c r="X969">
        <f t="shared" si="15"/>
        <v>1</v>
      </c>
    </row>
    <row r="970" spans="24:24" x14ac:dyDescent="0.3">
      <c r="X970">
        <f t="shared" si="15"/>
        <v>1</v>
      </c>
    </row>
    <row r="971" spans="24:24" x14ac:dyDescent="0.3">
      <c r="X971">
        <f t="shared" si="15"/>
        <v>1</v>
      </c>
    </row>
    <row r="972" spans="24:24" x14ac:dyDescent="0.3">
      <c r="X972">
        <f t="shared" si="15"/>
        <v>1</v>
      </c>
    </row>
    <row r="973" spans="24:24" x14ac:dyDescent="0.3">
      <c r="X973">
        <f t="shared" si="15"/>
        <v>1</v>
      </c>
    </row>
    <row r="974" spans="24:24" x14ac:dyDescent="0.3">
      <c r="X974">
        <f t="shared" si="15"/>
        <v>1</v>
      </c>
    </row>
    <row r="975" spans="24:24" x14ac:dyDescent="0.3">
      <c r="X975">
        <f t="shared" si="15"/>
        <v>1</v>
      </c>
    </row>
    <row r="976" spans="24:24" x14ac:dyDescent="0.3">
      <c r="X976">
        <f t="shared" si="15"/>
        <v>1</v>
      </c>
    </row>
    <row r="977" spans="24:24" x14ac:dyDescent="0.3">
      <c r="X977">
        <f t="shared" si="15"/>
        <v>1</v>
      </c>
    </row>
    <row r="978" spans="24:24" x14ac:dyDescent="0.3">
      <c r="X978">
        <f t="shared" si="15"/>
        <v>1</v>
      </c>
    </row>
    <row r="979" spans="24:24" x14ac:dyDescent="0.3">
      <c r="X979">
        <f t="shared" si="15"/>
        <v>1</v>
      </c>
    </row>
    <row r="980" spans="24:24" x14ac:dyDescent="0.3">
      <c r="X980">
        <f t="shared" si="15"/>
        <v>1</v>
      </c>
    </row>
    <row r="981" spans="24:24" x14ac:dyDescent="0.3">
      <c r="X981">
        <f t="shared" si="15"/>
        <v>1</v>
      </c>
    </row>
    <row r="982" spans="24:24" x14ac:dyDescent="0.3">
      <c r="X982">
        <f t="shared" ref="X982:X1038" si="16">IF(SUM(C982:W982)&lt;=5,1,0)</f>
        <v>1</v>
      </c>
    </row>
    <row r="983" spans="24:24" x14ac:dyDescent="0.3">
      <c r="X983">
        <f t="shared" si="16"/>
        <v>1</v>
      </c>
    </row>
    <row r="984" spans="24:24" x14ac:dyDescent="0.3">
      <c r="X984">
        <f t="shared" si="16"/>
        <v>1</v>
      </c>
    </row>
    <row r="985" spans="24:24" x14ac:dyDescent="0.3">
      <c r="X985">
        <f t="shared" si="16"/>
        <v>1</v>
      </c>
    </row>
    <row r="986" spans="24:24" x14ac:dyDescent="0.3">
      <c r="X986">
        <f t="shared" si="16"/>
        <v>1</v>
      </c>
    </row>
    <row r="987" spans="24:24" x14ac:dyDescent="0.3">
      <c r="X987">
        <f t="shared" si="16"/>
        <v>1</v>
      </c>
    </row>
    <row r="988" spans="24:24" x14ac:dyDescent="0.3">
      <c r="X988">
        <f t="shared" si="16"/>
        <v>1</v>
      </c>
    </row>
    <row r="989" spans="24:24" x14ac:dyDescent="0.3">
      <c r="X989">
        <f t="shared" si="16"/>
        <v>1</v>
      </c>
    </row>
    <row r="990" spans="24:24" x14ac:dyDescent="0.3">
      <c r="X990">
        <f t="shared" si="16"/>
        <v>1</v>
      </c>
    </row>
    <row r="991" spans="24:24" x14ac:dyDescent="0.3">
      <c r="X991">
        <f t="shared" si="16"/>
        <v>1</v>
      </c>
    </row>
    <row r="992" spans="24:24" x14ac:dyDescent="0.3">
      <c r="X992">
        <f t="shared" si="16"/>
        <v>1</v>
      </c>
    </row>
    <row r="993" spans="24:24" x14ac:dyDescent="0.3">
      <c r="X993">
        <f t="shared" si="16"/>
        <v>1</v>
      </c>
    </row>
    <row r="994" spans="24:24" x14ac:dyDescent="0.3">
      <c r="X994">
        <f t="shared" si="16"/>
        <v>1</v>
      </c>
    </row>
    <row r="995" spans="24:24" x14ac:dyDescent="0.3">
      <c r="X995">
        <f t="shared" si="16"/>
        <v>1</v>
      </c>
    </row>
    <row r="996" spans="24:24" x14ac:dyDescent="0.3">
      <c r="X996">
        <f t="shared" si="16"/>
        <v>1</v>
      </c>
    </row>
    <row r="997" spans="24:24" x14ac:dyDescent="0.3">
      <c r="X997">
        <f t="shared" si="16"/>
        <v>1</v>
      </c>
    </row>
    <row r="998" spans="24:24" x14ac:dyDescent="0.3">
      <c r="X998">
        <f t="shared" si="16"/>
        <v>1</v>
      </c>
    </row>
    <row r="999" spans="24:24" x14ac:dyDescent="0.3">
      <c r="X999">
        <f t="shared" si="16"/>
        <v>1</v>
      </c>
    </row>
    <row r="1000" spans="24:24" x14ac:dyDescent="0.3">
      <c r="X1000">
        <f t="shared" si="16"/>
        <v>1</v>
      </c>
    </row>
    <row r="1001" spans="24:24" x14ac:dyDescent="0.3">
      <c r="X1001">
        <f t="shared" si="16"/>
        <v>1</v>
      </c>
    </row>
    <row r="1002" spans="24:24" x14ac:dyDescent="0.3">
      <c r="X1002">
        <f t="shared" si="16"/>
        <v>1</v>
      </c>
    </row>
    <row r="1003" spans="24:24" x14ac:dyDescent="0.3">
      <c r="X1003">
        <f t="shared" si="16"/>
        <v>1</v>
      </c>
    </row>
    <row r="1004" spans="24:24" x14ac:dyDescent="0.3">
      <c r="X1004">
        <f t="shared" si="16"/>
        <v>1</v>
      </c>
    </row>
    <row r="1005" spans="24:24" x14ac:dyDescent="0.3">
      <c r="X1005">
        <f t="shared" si="16"/>
        <v>1</v>
      </c>
    </row>
    <row r="1006" spans="24:24" x14ac:dyDescent="0.3">
      <c r="X1006">
        <f t="shared" si="16"/>
        <v>1</v>
      </c>
    </row>
    <row r="1007" spans="24:24" x14ac:dyDescent="0.3">
      <c r="X1007">
        <f t="shared" si="16"/>
        <v>1</v>
      </c>
    </row>
    <row r="1008" spans="24:24" x14ac:dyDescent="0.3">
      <c r="X1008">
        <f t="shared" si="16"/>
        <v>1</v>
      </c>
    </row>
    <row r="1009" spans="24:24" x14ac:dyDescent="0.3">
      <c r="X1009">
        <f t="shared" si="16"/>
        <v>1</v>
      </c>
    </row>
    <row r="1010" spans="24:24" x14ac:dyDescent="0.3">
      <c r="X1010">
        <f t="shared" si="16"/>
        <v>1</v>
      </c>
    </row>
    <row r="1011" spans="24:24" x14ac:dyDescent="0.3">
      <c r="X1011">
        <f t="shared" si="16"/>
        <v>1</v>
      </c>
    </row>
    <row r="1012" spans="24:24" x14ac:dyDescent="0.3">
      <c r="X1012">
        <f t="shared" si="16"/>
        <v>1</v>
      </c>
    </row>
    <row r="1013" spans="24:24" x14ac:dyDescent="0.3">
      <c r="X1013">
        <f t="shared" si="16"/>
        <v>1</v>
      </c>
    </row>
    <row r="1014" spans="24:24" x14ac:dyDescent="0.3">
      <c r="X1014">
        <f t="shared" si="16"/>
        <v>1</v>
      </c>
    </row>
    <row r="1015" spans="24:24" x14ac:dyDescent="0.3">
      <c r="X1015">
        <f t="shared" si="16"/>
        <v>1</v>
      </c>
    </row>
    <row r="1016" spans="24:24" x14ac:dyDescent="0.3">
      <c r="X1016">
        <f t="shared" si="16"/>
        <v>1</v>
      </c>
    </row>
    <row r="1017" spans="24:24" x14ac:dyDescent="0.3">
      <c r="X1017">
        <f t="shared" si="16"/>
        <v>1</v>
      </c>
    </row>
    <row r="1018" spans="24:24" x14ac:dyDescent="0.3">
      <c r="X1018">
        <f t="shared" si="16"/>
        <v>1</v>
      </c>
    </row>
    <row r="1019" spans="24:24" x14ac:dyDescent="0.3">
      <c r="X1019">
        <f t="shared" si="16"/>
        <v>1</v>
      </c>
    </row>
    <row r="1020" spans="24:24" x14ac:dyDescent="0.3">
      <c r="X1020">
        <f t="shared" si="16"/>
        <v>1</v>
      </c>
    </row>
    <row r="1021" spans="24:24" x14ac:dyDescent="0.3">
      <c r="X1021">
        <f t="shared" si="16"/>
        <v>1</v>
      </c>
    </row>
    <row r="1022" spans="24:24" x14ac:dyDescent="0.3">
      <c r="X1022">
        <f t="shared" si="16"/>
        <v>1</v>
      </c>
    </row>
    <row r="1023" spans="24:24" x14ac:dyDescent="0.3">
      <c r="X1023">
        <f t="shared" si="16"/>
        <v>1</v>
      </c>
    </row>
    <row r="1024" spans="24:24" x14ac:dyDescent="0.3">
      <c r="X1024">
        <f t="shared" si="16"/>
        <v>1</v>
      </c>
    </row>
    <row r="1025" spans="24:24" x14ac:dyDescent="0.3">
      <c r="X1025">
        <f t="shared" si="16"/>
        <v>1</v>
      </c>
    </row>
    <row r="1026" spans="24:24" x14ac:dyDescent="0.3">
      <c r="X1026">
        <f t="shared" si="16"/>
        <v>1</v>
      </c>
    </row>
    <row r="1027" spans="24:24" x14ac:dyDescent="0.3">
      <c r="X1027">
        <f t="shared" si="16"/>
        <v>1</v>
      </c>
    </row>
    <row r="1028" spans="24:24" x14ac:dyDescent="0.3">
      <c r="X1028">
        <f t="shared" si="16"/>
        <v>1</v>
      </c>
    </row>
    <row r="1029" spans="24:24" x14ac:dyDescent="0.3">
      <c r="X1029">
        <f t="shared" si="16"/>
        <v>1</v>
      </c>
    </row>
    <row r="1030" spans="24:24" x14ac:dyDescent="0.3">
      <c r="X1030">
        <f t="shared" si="16"/>
        <v>1</v>
      </c>
    </row>
    <row r="1031" spans="24:24" x14ac:dyDescent="0.3">
      <c r="X1031">
        <f t="shared" si="16"/>
        <v>1</v>
      </c>
    </row>
    <row r="1032" spans="24:24" x14ac:dyDescent="0.3">
      <c r="X1032">
        <f t="shared" si="16"/>
        <v>1</v>
      </c>
    </row>
    <row r="1033" spans="24:24" x14ac:dyDescent="0.3">
      <c r="X1033">
        <f t="shared" si="16"/>
        <v>1</v>
      </c>
    </row>
    <row r="1034" spans="24:24" x14ac:dyDescent="0.3">
      <c r="X1034">
        <f t="shared" si="16"/>
        <v>1</v>
      </c>
    </row>
    <row r="1035" spans="24:24" x14ac:dyDescent="0.3">
      <c r="X1035">
        <f t="shared" si="16"/>
        <v>1</v>
      </c>
    </row>
    <row r="1036" spans="24:24" x14ac:dyDescent="0.3">
      <c r="X1036">
        <f t="shared" si="16"/>
        <v>1</v>
      </c>
    </row>
    <row r="1037" spans="24:24" x14ac:dyDescent="0.3">
      <c r="X1037">
        <f t="shared" si="16"/>
        <v>1</v>
      </c>
    </row>
    <row r="1038" spans="24:24" x14ac:dyDescent="0.3">
      <c r="X1038">
        <f t="shared" si="16"/>
        <v>1</v>
      </c>
    </row>
  </sheetData>
  <mergeCells count="7">
    <mergeCell ref="U19:W19"/>
    <mergeCell ref="C19:E19"/>
    <mergeCell ref="F19:H19"/>
    <mergeCell ref="I19:K19"/>
    <mergeCell ref="L19:N19"/>
    <mergeCell ref="O19:Q19"/>
    <mergeCell ref="R19:T19"/>
  </mergeCells>
  <conditionalFormatting sqref="C20:X20">
    <cfRule type="cellIs" dxfId="9" priority="4" operator="equal">
      <formula>"PARTIDO"</formula>
    </cfRule>
    <cfRule type="cellIs" dxfId="8" priority="5" operator="equal">
      <formula>"TARDE"</formula>
    </cfRule>
    <cfRule type="cellIs" dxfId="7" priority="6" operator="equal">
      <formula>"MAÑANA"</formula>
    </cfRule>
  </conditionalFormatting>
  <conditionalFormatting sqref="C21:W1048576">
    <cfRule type="expression" dxfId="6" priority="1">
      <formula>$X21=0</formula>
    </cfRule>
    <cfRule type="iconSet" priority="2">
      <iconSet iconSet="3Symbols2" showValue="0">
        <cfvo type="percent" val="0"/>
        <cfvo type="num" val="0"/>
        <cfvo type="num" val="1"/>
      </iconSet>
    </cfRule>
  </conditionalFormatting>
  <dataValidations count="1">
    <dataValidation type="list" allowBlank="1" showInputMessage="1" showErrorMessage="1" sqref="C6" xr:uid="{01FC32BF-68EC-48D2-864D-A130DCDB203C}">
      <formula1>INDIRECT(OPERATIVA)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3F51-4A0A-46F5-AF7E-2E89121150A2}">
  <dimension ref="A1:BL138"/>
  <sheetViews>
    <sheetView showGridLines="0" workbookViewId="0">
      <selection activeCell="C2" sqref="C2"/>
    </sheetView>
  </sheetViews>
  <sheetFormatPr baseColWidth="10" defaultRowHeight="14.4" x14ac:dyDescent="0.3"/>
  <cols>
    <col min="2" max="2" width="38.21875" bestFit="1" customWidth="1"/>
    <col min="3" max="3" width="16.88671875" bestFit="1" customWidth="1"/>
    <col min="4" max="4" width="16.88671875" customWidth="1"/>
    <col min="5" max="5" width="14.5546875" bestFit="1" customWidth="1"/>
    <col min="6" max="6" width="14.5546875" customWidth="1"/>
    <col min="7" max="7" width="14.5546875" bestFit="1" customWidth="1"/>
    <col min="8" max="8" width="14.5546875" customWidth="1"/>
    <col min="9" max="9" width="14.5546875" bestFit="1" customWidth="1"/>
    <col min="10" max="10" width="14.5546875" customWidth="1"/>
    <col min="11" max="11" width="14.5546875" bestFit="1" customWidth="1"/>
    <col min="12" max="12" width="14.5546875" customWidth="1"/>
    <col min="13" max="13" width="14.5546875" bestFit="1" customWidth="1"/>
    <col min="14" max="14" width="14.5546875" customWidth="1"/>
    <col min="15" max="15" width="14.5546875" bestFit="1" customWidth="1"/>
    <col min="16" max="16" width="14.5546875" customWidth="1"/>
    <col min="17" max="17" width="14.5546875" bestFit="1" customWidth="1"/>
    <col min="18" max="18" width="14.5546875" customWidth="1"/>
    <col min="19" max="19" width="14.5546875" bestFit="1" customWidth="1"/>
    <col min="20" max="20" width="14.5546875" customWidth="1"/>
    <col min="21" max="21" width="14.5546875" bestFit="1" customWidth="1"/>
    <col min="22" max="22" width="14.5546875" customWidth="1"/>
    <col min="23" max="23" width="14.5546875" bestFit="1" customWidth="1"/>
    <col min="24" max="24" width="14.5546875" customWidth="1"/>
    <col min="25" max="25" width="14.5546875" bestFit="1" customWidth="1"/>
    <col min="26" max="26" width="14.5546875" customWidth="1"/>
    <col min="27" max="27" width="14.5546875" bestFit="1" customWidth="1"/>
    <col min="28" max="28" width="14.5546875" customWidth="1"/>
    <col min="29" max="29" width="14.5546875" bestFit="1" customWidth="1"/>
    <col min="30" max="30" width="14.5546875" customWidth="1"/>
    <col min="31" max="31" width="14.5546875" bestFit="1" customWidth="1"/>
    <col min="32" max="32" width="14.5546875" customWidth="1"/>
    <col min="33" max="33" width="14.5546875" bestFit="1" customWidth="1"/>
    <col min="34" max="34" width="14.5546875" customWidth="1"/>
    <col min="35" max="35" width="14.5546875" bestFit="1" customWidth="1"/>
    <col min="36" max="36" width="14.5546875" customWidth="1"/>
    <col min="37" max="37" width="14.5546875" bestFit="1" customWidth="1"/>
    <col min="38" max="38" width="14.5546875" customWidth="1"/>
    <col min="39" max="39" width="14.5546875" bestFit="1" customWidth="1"/>
    <col min="40" max="40" width="14.5546875" customWidth="1"/>
    <col min="41" max="41" width="14.5546875" bestFit="1" customWidth="1"/>
    <col min="42" max="42" width="14.5546875" customWidth="1"/>
    <col min="43" max="43" width="14.5546875" bestFit="1" customWidth="1"/>
    <col min="44" max="44" width="14.5546875" customWidth="1"/>
    <col min="45" max="45" width="14.5546875" bestFit="1" customWidth="1"/>
    <col min="46" max="46" width="14.5546875" customWidth="1"/>
    <col min="47" max="47" width="14.5546875" bestFit="1" customWidth="1"/>
    <col min="48" max="48" width="14.5546875" customWidth="1"/>
    <col min="49" max="49" width="14.5546875" bestFit="1" customWidth="1"/>
    <col min="50" max="50" width="14.5546875" customWidth="1"/>
    <col min="51" max="51" width="14.5546875" bestFit="1" customWidth="1"/>
    <col min="52" max="52" width="14.5546875" customWidth="1"/>
    <col min="53" max="53" width="14.5546875" bestFit="1" customWidth="1"/>
    <col min="54" max="54" width="14.5546875" customWidth="1"/>
    <col min="55" max="55" width="14.5546875" bestFit="1" customWidth="1"/>
    <col min="56" max="56" width="14.5546875" customWidth="1"/>
    <col min="57" max="57" width="14.5546875" bestFit="1" customWidth="1"/>
    <col min="58" max="58" width="14.5546875" customWidth="1"/>
    <col min="59" max="59" width="14.5546875" bestFit="1" customWidth="1"/>
    <col min="60" max="60" width="14.5546875" customWidth="1"/>
    <col min="61" max="61" width="14.5546875" bestFit="1" customWidth="1"/>
    <col min="62" max="62" width="14.5546875" customWidth="1"/>
    <col min="63" max="64" width="14.5546875" bestFit="1" customWidth="1"/>
  </cols>
  <sheetData>
    <row r="1" spans="1:64" ht="15" thickBot="1" x14ac:dyDescent="0.35"/>
    <row r="2" spans="1:64" ht="21.6" thickBot="1" x14ac:dyDescent="0.35">
      <c r="B2" s="3" t="s">
        <v>16</v>
      </c>
      <c r="C2" s="12" t="s">
        <v>17</v>
      </c>
      <c r="D2" s="14"/>
    </row>
    <row r="4" spans="1:64" ht="18" x14ac:dyDescent="0.3">
      <c r="B4" s="9" t="s">
        <v>20</v>
      </c>
      <c r="C4" s="9" t="str">
        <f>"W"&amp;TEXT(_xlfn.ISOWEEKNUM(C5),"00")</f>
        <v>W01</v>
      </c>
      <c r="D4" s="9" t="str">
        <f t="shared" ref="D4:BL4" si="0">"W"&amp;TEXT(_xlfn.ISOWEEKNUM(D5),"00")</f>
        <v>W01</v>
      </c>
      <c r="E4" s="9" t="str">
        <f t="shared" si="0"/>
        <v>W01</v>
      </c>
      <c r="F4" s="9" t="str">
        <f t="shared" si="0"/>
        <v>W01</v>
      </c>
      <c r="G4" s="9" t="str">
        <f t="shared" si="0"/>
        <v>W01</v>
      </c>
      <c r="H4" s="9" t="str">
        <f t="shared" si="0"/>
        <v>W01</v>
      </c>
      <c r="I4" s="9" t="str">
        <f t="shared" si="0"/>
        <v>W01</v>
      </c>
      <c r="J4" s="9" t="str">
        <f t="shared" si="0"/>
        <v>W01</v>
      </c>
      <c r="K4" s="9" t="str">
        <f t="shared" si="0"/>
        <v>W01</v>
      </c>
      <c r="L4" s="9" t="str">
        <f t="shared" si="0"/>
        <v>W01</v>
      </c>
      <c r="M4" s="9" t="str">
        <f t="shared" si="0"/>
        <v>W01</v>
      </c>
      <c r="N4" s="9" t="str">
        <f t="shared" si="0"/>
        <v>W01</v>
      </c>
      <c r="O4" s="9" t="str">
        <f t="shared" si="0"/>
        <v>W01</v>
      </c>
      <c r="P4" s="9" t="str">
        <f t="shared" si="0"/>
        <v>W01</v>
      </c>
      <c r="Q4" s="9" t="str">
        <f t="shared" si="0"/>
        <v>W02</v>
      </c>
      <c r="R4" s="9" t="str">
        <f t="shared" si="0"/>
        <v>W02</v>
      </c>
      <c r="S4" s="9" t="str">
        <f t="shared" si="0"/>
        <v>W02</v>
      </c>
      <c r="T4" s="9" t="str">
        <f t="shared" si="0"/>
        <v>W02</v>
      </c>
      <c r="U4" s="9" t="str">
        <f t="shared" si="0"/>
        <v>W02</v>
      </c>
      <c r="V4" s="9" t="str">
        <f t="shared" si="0"/>
        <v>W02</v>
      </c>
      <c r="W4" s="9" t="str">
        <f t="shared" si="0"/>
        <v>W02</v>
      </c>
      <c r="X4" s="9" t="str">
        <f t="shared" si="0"/>
        <v>W02</v>
      </c>
      <c r="Y4" s="9" t="str">
        <f t="shared" si="0"/>
        <v>W02</v>
      </c>
      <c r="Z4" s="9" t="str">
        <f t="shared" si="0"/>
        <v>W02</v>
      </c>
      <c r="AA4" s="9" t="str">
        <f t="shared" si="0"/>
        <v>W02</v>
      </c>
      <c r="AB4" s="9" t="str">
        <f t="shared" si="0"/>
        <v>W02</v>
      </c>
      <c r="AC4" s="9" t="str">
        <f t="shared" si="0"/>
        <v>W02</v>
      </c>
      <c r="AD4" s="9" t="str">
        <f t="shared" si="0"/>
        <v>W02</v>
      </c>
      <c r="AE4" s="9" t="str">
        <f t="shared" si="0"/>
        <v>W03</v>
      </c>
      <c r="AF4" s="9" t="str">
        <f t="shared" si="0"/>
        <v>W03</v>
      </c>
      <c r="AG4" s="9" t="str">
        <f t="shared" si="0"/>
        <v>W03</v>
      </c>
      <c r="AH4" s="9" t="str">
        <f t="shared" si="0"/>
        <v>W03</v>
      </c>
      <c r="AI4" s="9" t="str">
        <f t="shared" si="0"/>
        <v>W03</v>
      </c>
      <c r="AJ4" s="9" t="str">
        <f t="shared" si="0"/>
        <v>W03</v>
      </c>
      <c r="AK4" s="9" t="str">
        <f t="shared" si="0"/>
        <v>W03</v>
      </c>
      <c r="AL4" s="9" t="str">
        <f t="shared" si="0"/>
        <v>W03</v>
      </c>
      <c r="AM4" s="9" t="str">
        <f t="shared" si="0"/>
        <v>W03</v>
      </c>
      <c r="AN4" s="9" t="str">
        <f t="shared" si="0"/>
        <v>W03</v>
      </c>
      <c r="AO4" s="9" t="str">
        <f t="shared" si="0"/>
        <v>W03</v>
      </c>
      <c r="AP4" s="9" t="str">
        <f t="shared" si="0"/>
        <v>W03</v>
      </c>
      <c r="AQ4" s="9" t="str">
        <f t="shared" si="0"/>
        <v>W03</v>
      </c>
      <c r="AR4" s="9" t="str">
        <f t="shared" si="0"/>
        <v>W03</v>
      </c>
      <c r="AS4" s="9" t="str">
        <f t="shared" si="0"/>
        <v>W04</v>
      </c>
      <c r="AT4" s="9" t="str">
        <f t="shared" si="0"/>
        <v>W04</v>
      </c>
      <c r="AU4" s="9" t="str">
        <f t="shared" si="0"/>
        <v>W04</v>
      </c>
      <c r="AV4" s="9" t="str">
        <f t="shared" si="0"/>
        <v>W04</v>
      </c>
      <c r="AW4" s="9" t="str">
        <f t="shared" si="0"/>
        <v>W04</v>
      </c>
      <c r="AX4" s="9" t="str">
        <f t="shared" si="0"/>
        <v>W04</v>
      </c>
      <c r="AY4" s="9" t="str">
        <f t="shared" si="0"/>
        <v>W04</v>
      </c>
      <c r="AZ4" s="9" t="str">
        <f t="shared" si="0"/>
        <v>W04</v>
      </c>
      <c r="BA4" s="9" t="str">
        <f t="shared" si="0"/>
        <v>W04</v>
      </c>
      <c r="BB4" s="9" t="str">
        <f t="shared" si="0"/>
        <v>W04</v>
      </c>
      <c r="BC4" s="9" t="str">
        <f t="shared" si="0"/>
        <v>W04</v>
      </c>
      <c r="BD4" s="9" t="str">
        <f t="shared" si="0"/>
        <v>W04</v>
      </c>
      <c r="BE4" s="9" t="str">
        <f t="shared" si="0"/>
        <v>W04</v>
      </c>
      <c r="BF4" s="9" t="str">
        <f t="shared" si="0"/>
        <v>W04</v>
      </c>
      <c r="BG4" s="9" t="str">
        <f t="shared" si="0"/>
        <v>W05</v>
      </c>
      <c r="BH4" s="9" t="str">
        <f t="shared" si="0"/>
        <v>W05</v>
      </c>
      <c r="BI4" s="9" t="str">
        <f t="shared" si="0"/>
        <v>W05</v>
      </c>
      <c r="BJ4" s="9" t="str">
        <f t="shared" si="0"/>
        <v>W05</v>
      </c>
      <c r="BK4" s="9" t="str">
        <f t="shared" si="0"/>
        <v>W05</v>
      </c>
      <c r="BL4" s="9" t="str">
        <f t="shared" si="0"/>
        <v>W05</v>
      </c>
    </row>
    <row r="5" spans="1:64" ht="18" x14ac:dyDescent="0.3">
      <c r="B5" s="9" t="s">
        <v>21</v>
      </c>
      <c r="C5" s="13">
        <v>45292</v>
      </c>
      <c r="D5" s="13">
        <v>45292</v>
      </c>
      <c r="E5" s="13">
        <v>45293</v>
      </c>
      <c r="F5" s="13">
        <v>45293</v>
      </c>
      <c r="G5" s="13">
        <v>45294</v>
      </c>
      <c r="H5" s="13">
        <v>45294</v>
      </c>
      <c r="I5" s="13">
        <v>45295</v>
      </c>
      <c r="J5" s="13">
        <v>45295</v>
      </c>
      <c r="K5" s="13">
        <v>45296</v>
      </c>
      <c r="L5" s="13">
        <v>45296</v>
      </c>
      <c r="M5" s="13">
        <v>45297</v>
      </c>
      <c r="N5" s="13">
        <v>45297</v>
      </c>
      <c r="O5" s="13">
        <v>45298</v>
      </c>
      <c r="P5" s="13">
        <v>45298</v>
      </c>
      <c r="Q5" s="13">
        <v>45299</v>
      </c>
      <c r="R5" s="13">
        <v>45299</v>
      </c>
      <c r="S5" s="13">
        <v>45300</v>
      </c>
      <c r="T5" s="13">
        <v>45300</v>
      </c>
      <c r="U5" s="13">
        <v>45301</v>
      </c>
      <c r="V5" s="13">
        <v>45301</v>
      </c>
      <c r="W5" s="13">
        <v>45302</v>
      </c>
      <c r="X5" s="13">
        <v>45302</v>
      </c>
      <c r="Y5" s="13">
        <v>45303</v>
      </c>
      <c r="Z5" s="13">
        <v>45303</v>
      </c>
      <c r="AA5" s="13">
        <v>45304</v>
      </c>
      <c r="AB5" s="13">
        <v>45304</v>
      </c>
      <c r="AC5" s="13">
        <v>45305</v>
      </c>
      <c r="AD5" s="13">
        <v>45305</v>
      </c>
      <c r="AE5" s="13">
        <v>45306</v>
      </c>
      <c r="AF5" s="13">
        <v>45306</v>
      </c>
      <c r="AG5" s="13">
        <v>45307</v>
      </c>
      <c r="AH5" s="13">
        <v>45307</v>
      </c>
      <c r="AI5" s="13">
        <v>45308</v>
      </c>
      <c r="AJ5" s="13">
        <v>45308</v>
      </c>
      <c r="AK5" s="13">
        <v>45309</v>
      </c>
      <c r="AL5" s="13">
        <v>45309</v>
      </c>
      <c r="AM5" s="13">
        <v>45310</v>
      </c>
      <c r="AN5" s="13">
        <v>45310</v>
      </c>
      <c r="AO5" s="13">
        <v>45311</v>
      </c>
      <c r="AP5" s="13">
        <v>45311</v>
      </c>
      <c r="AQ5" s="13">
        <v>45312</v>
      </c>
      <c r="AR5" s="13">
        <v>45312</v>
      </c>
      <c r="AS5" s="13">
        <v>45313</v>
      </c>
      <c r="AT5" s="13">
        <v>45313</v>
      </c>
      <c r="AU5" s="13">
        <v>45314</v>
      </c>
      <c r="AV5" s="13">
        <v>45314</v>
      </c>
      <c r="AW5" s="13">
        <v>45315</v>
      </c>
      <c r="AX5" s="13">
        <v>45315</v>
      </c>
      <c r="AY5" s="13">
        <v>45316</v>
      </c>
      <c r="AZ5" s="13">
        <v>45316</v>
      </c>
      <c r="BA5" s="13">
        <v>45317</v>
      </c>
      <c r="BB5" s="13">
        <v>45317</v>
      </c>
      <c r="BC5" s="13">
        <v>45318</v>
      </c>
      <c r="BD5" s="13">
        <v>45318</v>
      </c>
      <c r="BE5" s="13">
        <v>45319</v>
      </c>
      <c r="BF5" s="13">
        <v>45319</v>
      </c>
      <c r="BG5" s="13">
        <v>45320</v>
      </c>
      <c r="BH5" s="13">
        <v>45320</v>
      </c>
      <c r="BI5" s="13">
        <v>45321</v>
      </c>
      <c r="BJ5" s="13">
        <v>45321</v>
      </c>
      <c r="BK5" s="13">
        <v>45322</v>
      </c>
      <c r="BL5" s="13">
        <v>45322</v>
      </c>
    </row>
    <row r="6" spans="1:64" ht="18" x14ac:dyDescent="0.3">
      <c r="A6" s="10" t="s">
        <v>213</v>
      </c>
      <c r="B6" s="10" t="s">
        <v>22</v>
      </c>
      <c r="C6" s="15" t="s">
        <v>44</v>
      </c>
      <c r="D6" s="15" t="s">
        <v>45</v>
      </c>
      <c r="E6" s="15" t="s">
        <v>44</v>
      </c>
      <c r="F6" s="15" t="s">
        <v>45</v>
      </c>
      <c r="G6" s="15" t="s">
        <v>44</v>
      </c>
      <c r="H6" s="15" t="s">
        <v>45</v>
      </c>
      <c r="I6" s="15" t="s">
        <v>44</v>
      </c>
      <c r="J6" s="15" t="s">
        <v>45</v>
      </c>
      <c r="K6" s="15" t="s">
        <v>44</v>
      </c>
      <c r="L6" s="15" t="s">
        <v>45</v>
      </c>
      <c r="M6" s="15" t="s">
        <v>44</v>
      </c>
      <c r="N6" s="15" t="s">
        <v>45</v>
      </c>
      <c r="O6" s="15" t="s">
        <v>44</v>
      </c>
      <c r="P6" s="15" t="s">
        <v>45</v>
      </c>
      <c r="Q6" s="15" t="s">
        <v>44</v>
      </c>
      <c r="R6" s="15" t="s">
        <v>45</v>
      </c>
      <c r="S6" s="15" t="s">
        <v>44</v>
      </c>
      <c r="T6" s="15" t="s">
        <v>45</v>
      </c>
      <c r="U6" s="15" t="s">
        <v>44</v>
      </c>
      <c r="V6" s="15" t="s">
        <v>45</v>
      </c>
      <c r="W6" s="15" t="s">
        <v>44</v>
      </c>
      <c r="X6" s="15" t="s">
        <v>45</v>
      </c>
      <c r="Y6" s="15" t="s">
        <v>44</v>
      </c>
      <c r="Z6" s="15" t="s">
        <v>45</v>
      </c>
      <c r="AA6" s="15" t="s">
        <v>44</v>
      </c>
      <c r="AB6" s="15" t="s">
        <v>45</v>
      </c>
      <c r="AC6" s="15" t="s">
        <v>44</v>
      </c>
      <c r="AD6" s="15" t="s">
        <v>45</v>
      </c>
      <c r="AE6" s="15" t="s">
        <v>44</v>
      </c>
      <c r="AF6" s="15" t="s">
        <v>45</v>
      </c>
      <c r="AG6" s="15" t="s">
        <v>44</v>
      </c>
      <c r="AH6" s="15" t="s">
        <v>45</v>
      </c>
      <c r="AI6" s="15" t="s">
        <v>44</v>
      </c>
      <c r="AJ6" s="15" t="s">
        <v>45</v>
      </c>
      <c r="AK6" s="15" t="s">
        <v>44</v>
      </c>
      <c r="AL6" s="15" t="s">
        <v>45</v>
      </c>
      <c r="AM6" s="15" t="s">
        <v>44</v>
      </c>
      <c r="AN6" s="15" t="s">
        <v>45</v>
      </c>
      <c r="AO6" s="15" t="s">
        <v>44</v>
      </c>
      <c r="AP6" s="15" t="s">
        <v>45</v>
      </c>
      <c r="AQ6" s="15" t="s">
        <v>44</v>
      </c>
      <c r="AR6" s="15" t="s">
        <v>45</v>
      </c>
      <c r="AS6" s="15" t="s">
        <v>44</v>
      </c>
      <c r="AT6" s="15" t="s">
        <v>45</v>
      </c>
      <c r="AU6" s="15" t="s">
        <v>44</v>
      </c>
      <c r="AV6" s="15" t="s">
        <v>45</v>
      </c>
      <c r="AW6" s="15" t="s">
        <v>44</v>
      </c>
      <c r="AX6" s="15" t="s">
        <v>45</v>
      </c>
      <c r="AY6" s="15" t="s">
        <v>44</v>
      </c>
      <c r="AZ6" s="15" t="s">
        <v>45</v>
      </c>
      <c r="BA6" s="15" t="s">
        <v>44</v>
      </c>
      <c r="BB6" s="15" t="s">
        <v>45</v>
      </c>
      <c r="BC6" s="15" t="s">
        <v>44</v>
      </c>
      <c r="BD6" s="15" t="s">
        <v>45</v>
      </c>
      <c r="BE6" s="15" t="s">
        <v>44</v>
      </c>
      <c r="BF6" s="15" t="s">
        <v>45</v>
      </c>
      <c r="BG6" s="15" t="s">
        <v>44</v>
      </c>
      <c r="BH6" s="15" t="s">
        <v>45</v>
      </c>
      <c r="BI6" s="15" t="s">
        <v>44</v>
      </c>
      <c r="BJ6" s="15" t="s">
        <v>45</v>
      </c>
      <c r="BK6" s="15" t="s">
        <v>44</v>
      </c>
      <c r="BL6" s="15" t="s">
        <v>45</v>
      </c>
    </row>
    <row r="7" spans="1:64" x14ac:dyDescent="0.3">
      <c r="A7" s="6" cm="1">
        <f t="array" ref="A7:A42">INDEX(_xlfn._xlws.FILTER(Tabla3[], Tabla3[CLIENTE]=$C$2), ,1)</f>
        <v>22025</v>
      </c>
      <c r="B7" s="6" t="str" cm="1">
        <f t="array" ref="B7:B42">INDEX(_xlfn._xlws.FILTER(Tabla3[], Tabla3[CLIENTE]=$C$2), ,2)</f>
        <v>MUÑOZ RAMIREZ, CRISTIAN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</row>
    <row r="8" spans="1:64" x14ac:dyDescent="0.3">
      <c r="A8" s="6">
        <v>22457</v>
      </c>
      <c r="B8" s="6" t="str">
        <v>JACOME CASTAÑEDA, NICOLAS FERNANDO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</row>
    <row r="9" spans="1:64" x14ac:dyDescent="0.3">
      <c r="A9" s="6">
        <v>28197</v>
      </c>
      <c r="B9" s="6" t="str">
        <v>ESCUDERO DEL OLMO, JOSE LUIS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</row>
    <row r="10" spans="1:64" x14ac:dyDescent="0.3">
      <c r="A10" s="6">
        <v>28202</v>
      </c>
      <c r="B10" s="6" t="str">
        <v>AYMERICH MARTIN, JOSE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</row>
    <row r="11" spans="1:64" x14ac:dyDescent="0.3">
      <c r="A11" s="6">
        <v>28205</v>
      </c>
      <c r="B11" s="6" t="str">
        <v>RODA RODRIGUEZ, JUAN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</row>
    <row r="12" spans="1:64" x14ac:dyDescent="0.3">
      <c r="A12" s="6">
        <v>28207</v>
      </c>
      <c r="B12" s="6" t="str">
        <v>ALBA BLAZQUEZ, LORENA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</row>
    <row r="13" spans="1:64" x14ac:dyDescent="0.3">
      <c r="A13" s="6">
        <v>28208</v>
      </c>
      <c r="B13" s="6" t="str">
        <v>CAMPOS MATEO, ANA ISABEL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</row>
    <row r="14" spans="1:64" x14ac:dyDescent="0.3">
      <c r="A14" s="6">
        <v>28211</v>
      </c>
      <c r="B14" s="6" t="str">
        <v>GOMEZ MONTES, LUIS JAVIER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</row>
    <row r="15" spans="1:64" x14ac:dyDescent="0.3">
      <c r="A15" s="6">
        <v>28212</v>
      </c>
      <c r="B15" s="6" t="str">
        <v>GONZALEZ GARCIA, FERNANDO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</row>
    <row r="16" spans="1:64" x14ac:dyDescent="0.3">
      <c r="A16" s="6">
        <v>28213</v>
      </c>
      <c r="B16" s="6" t="str">
        <v>HERRERO SANCHEZ, JAVIER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</row>
    <row r="17" spans="1:64" x14ac:dyDescent="0.3">
      <c r="A17" s="6">
        <v>28215</v>
      </c>
      <c r="B17" s="6" t="str">
        <v>MORENO MAZA, PEDRO ANTONIO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</row>
    <row r="18" spans="1:64" x14ac:dyDescent="0.3">
      <c r="A18" s="6">
        <v>28217</v>
      </c>
      <c r="B18" s="6" t="str">
        <v>REGALADO SIERRA, OSCAR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</row>
    <row r="19" spans="1:64" x14ac:dyDescent="0.3">
      <c r="A19" s="6">
        <v>28222</v>
      </c>
      <c r="B19" s="6" t="str">
        <v>PINTADO PARRA, ALEJANDRO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</row>
    <row r="20" spans="1:64" x14ac:dyDescent="0.3">
      <c r="A20" s="6">
        <v>28223</v>
      </c>
      <c r="B20" s="6" t="str">
        <v>TAMAYO CARDONA, JORGE ELIECER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</row>
    <row r="21" spans="1:64" x14ac:dyDescent="0.3">
      <c r="A21" s="6">
        <v>28224</v>
      </c>
      <c r="B21" s="6" t="str">
        <v>TORBADO CAMPILLO, DARIO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</row>
    <row r="22" spans="1:64" x14ac:dyDescent="0.3">
      <c r="A22" s="6">
        <v>28229</v>
      </c>
      <c r="B22" s="6" t="str">
        <v>RIVERO GARCIA, AGUSTIN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</row>
    <row r="23" spans="1:64" x14ac:dyDescent="0.3">
      <c r="A23" s="6">
        <v>28230</v>
      </c>
      <c r="B23" s="6" t="str">
        <v>PIZARROSO LOPEZ, FRANCISCO JOSE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</row>
    <row r="24" spans="1:64" x14ac:dyDescent="0.3">
      <c r="A24" s="6">
        <v>28231</v>
      </c>
      <c r="B24" s="6" t="str">
        <v>MANZANERO ESCRIBANO, IVAN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</row>
    <row r="25" spans="1:64" x14ac:dyDescent="0.3">
      <c r="A25" s="6">
        <v>28232</v>
      </c>
      <c r="B25" s="6" t="str">
        <v>PLATA RODRIGUEZ, JOSE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</row>
    <row r="26" spans="1:64" x14ac:dyDescent="0.3">
      <c r="A26" s="6">
        <v>28234</v>
      </c>
      <c r="B26" s="6" t="str">
        <v>DOMINGUEZ MERCHAN, JAIME JESUS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</row>
    <row r="27" spans="1:64" x14ac:dyDescent="0.3">
      <c r="A27" s="6">
        <v>28235</v>
      </c>
      <c r="B27" s="6" t="str">
        <v>DIAZ GARCIA DEL RIO, JUAN MANUEL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</row>
    <row r="28" spans="1:64" x14ac:dyDescent="0.3">
      <c r="A28" s="6">
        <v>28323</v>
      </c>
      <c r="B28" s="6" t="str">
        <v>LOZANO CAMPON, JESUS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</row>
    <row r="29" spans="1:64" x14ac:dyDescent="0.3">
      <c r="A29" s="6">
        <v>36833</v>
      </c>
      <c r="B29" s="6" t="str">
        <v>MENASALVAS TELLEZ, JESUS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</row>
    <row r="30" spans="1:64" x14ac:dyDescent="0.3">
      <c r="A30" s="6">
        <v>39149</v>
      </c>
      <c r="B30" s="6" t="str">
        <v>SEGOVIA ARROBA, JOSE ANTONIO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</row>
    <row r="31" spans="1:64" x14ac:dyDescent="0.3">
      <c r="A31" s="6">
        <v>44254</v>
      </c>
      <c r="B31" s="6" t="str">
        <v>BARDON GARCIA, RICARDO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</row>
    <row r="32" spans="1:64" x14ac:dyDescent="0.3">
      <c r="A32" s="6">
        <v>49750</v>
      </c>
      <c r="B32" s="6" t="str">
        <v>TOBOSO ONTORIA, JUAN MANUEL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</row>
    <row r="33" spans="1:64" x14ac:dyDescent="0.3">
      <c r="A33" s="6">
        <v>51069</v>
      </c>
      <c r="B33" s="6" t="str">
        <v>GIL MEZCUA, IVAN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</row>
    <row r="34" spans="1:64" x14ac:dyDescent="0.3">
      <c r="A34" s="6">
        <v>51199</v>
      </c>
      <c r="B34" s="6" t="str">
        <v>DOMINGO DE LA LLANA, SAMUEL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</row>
    <row r="35" spans="1:64" x14ac:dyDescent="0.3">
      <c r="A35" s="6">
        <v>52379</v>
      </c>
      <c r="B35" s="6" t="str">
        <v>MOHAMED EL HADJ, MOHAMMED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1:64" x14ac:dyDescent="0.3">
      <c r="A36" s="6">
        <v>55721</v>
      </c>
      <c r="B36" s="6" t="str">
        <v xml:space="preserve"> CAMPOMA MOYA ANA RUT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64" x14ac:dyDescent="0.3">
      <c r="A37" s="6">
        <v>56070</v>
      </c>
      <c r="B37" s="6" t="str">
        <v>ENRIQUE CARABALLOS MELON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</row>
    <row r="38" spans="1:64" x14ac:dyDescent="0.3">
      <c r="A38" s="6">
        <v>56091</v>
      </c>
      <c r="B38" s="6" t="str">
        <v>BLASCO COLONIA, OMAR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</row>
    <row r="39" spans="1:64" x14ac:dyDescent="0.3">
      <c r="A39" s="6">
        <v>67844</v>
      </c>
      <c r="B39" s="6" t="str">
        <v>UNLAYAO CABRILLAS, JENNIFER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</row>
    <row r="40" spans="1:64" x14ac:dyDescent="0.3">
      <c r="A40" s="6">
        <v>71116</v>
      </c>
      <c r="B40" s="6" t="str">
        <v>MORATILLA OLIVA, ARANCHA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</row>
    <row r="41" spans="1:64" x14ac:dyDescent="0.3">
      <c r="A41" s="6">
        <v>75508</v>
      </c>
      <c r="B41" s="6" t="str">
        <v>MERINO PEREZ, CRISTINA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</row>
    <row r="42" spans="1:64" x14ac:dyDescent="0.3">
      <c r="A42" s="6">
        <v>75509</v>
      </c>
      <c r="B42" s="6" t="str">
        <v>ALCALDE LOPEZ, IRENE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</row>
    <row r="43" spans="1:64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</row>
    <row r="44" spans="1:64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</row>
    <row r="45" spans="1:64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</row>
    <row r="46" spans="1:64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</row>
    <row r="47" spans="1:64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</row>
    <row r="48" spans="1:64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</row>
    <row r="49" spans="1:64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</row>
    <row r="50" spans="1:64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</row>
    <row r="51" spans="1:64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</row>
    <row r="52" spans="1:64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</row>
    <row r="53" spans="1:64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</row>
    <row r="54" spans="1:64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</row>
    <row r="55" spans="1:64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</row>
    <row r="56" spans="1:64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</row>
    <row r="57" spans="1:64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</row>
    <row r="58" spans="1:64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</row>
    <row r="59" spans="1:64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</row>
    <row r="60" spans="1:64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</row>
    <row r="61" spans="1:64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</row>
    <row r="62" spans="1:64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</row>
    <row r="63" spans="1:64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</row>
    <row r="64" spans="1:64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</row>
    <row r="65" spans="1:64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</row>
    <row r="66" spans="1:64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</row>
    <row r="67" spans="1:64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</row>
    <row r="68" spans="1:64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</row>
    <row r="69" spans="1:64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</row>
    <row r="70" spans="1:64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</row>
    <row r="71" spans="1:64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</row>
    <row r="72" spans="1:64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</row>
    <row r="73" spans="1:64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</row>
    <row r="74" spans="1:64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</row>
    <row r="75" spans="1:64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</row>
    <row r="76" spans="1:64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</row>
    <row r="77" spans="1:64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</row>
    <row r="78" spans="1:64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</row>
    <row r="79" spans="1:64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</row>
    <row r="80" spans="1:64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</row>
    <row r="81" spans="1:64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</row>
    <row r="82" spans="1:64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</row>
    <row r="83" spans="1:64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</row>
    <row r="84" spans="1:64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</row>
    <row r="85" spans="1:64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</row>
    <row r="86" spans="1:64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</row>
    <row r="87" spans="1:64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</row>
    <row r="88" spans="1:64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</row>
    <row r="89" spans="1:64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</row>
    <row r="90" spans="1:64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</row>
    <row r="91" spans="1:64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</row>
    <row r="92" spans="1:64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</row>
    <row r="93" spans="1:64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</row>
    <row r="94" spans="1:64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</row>
    <row r="95" spans="1:64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</row>
    <row r="96" spans="1:64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</row>
    <row r="97" spans="1:64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</row>
    <row r="98" spans="1:64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</row>
    <row r="99" spans="1:64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</row>
    <row r="100" spans="1:64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</row>
    <row r="101" spans="1:64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</row>
    <row r="102" spans="1:64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</row>
    <row r="103" spans="1:64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</row>
    <row r="104" spans="1:64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</row>
    <row r="105" spans="1:64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</row>
    <row r="106" spans="1:64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</row>
    <row r="107" spans="1:64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</row>
    <row r="108" spans="1:64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</row>
    <row r="109" spans="1:64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</row>
    <row r="110" spans="1:64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</row>
    <row r="111" spans="1:64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</row>
    <row r="112" spans="1:64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</row>
    <row r="113" spans="1:64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</row>
    <row r="114" spans="1:64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</row>
    <row r="115" spans="1:64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</row>
    <row r="116" spans="1:64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</row>
    <row r="117" spans="1:64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</row>
    <row r="118" spans="1:64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</row>
    <row r="119" spans="1:64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</row>
    <row r="120" spans="1:64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</row>
    <row r="121" spans="1:64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</row>
    <row r="122" spans="1:64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</row>
    <row r="123" spans="1:64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</row>
    <row r="124" spans="1:64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</row>
    <row r="125" spans="1:64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</row>
    <row r="126" spans="1:64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</row>
    <row r="127" spans="1:64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</row>
    <row r="128" spans="1:64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</row>
    <row r="129" spans="1:64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</row>
    <row r="130" spans="1:64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</row>
    <row r="131" spans="1:64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</row>
    <row r="132" spans="1:64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</row>
    <row r="133" spans="1:64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</row>
    <row r="134" spans="1:64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</row>
    <row r="135" spans="1:64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</row>
    <row r="136" spans="1:64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</row>
    <row r="137" spans="1:64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</row>
    <row r="138" spans="1:64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</row>
  </sheetData>
  <dataValidations count="3">
    <dataValidation type="list" allowBlank="1" showInputMessage="1" showErrorMessage="1" sqref="C2:D2" xr:uid="{24E16A6E-1C44-447D-A84F-4FEC07DE7A81}">
      <formula1>INDIRECT(OPERATIVA)</formula1>
    </dataValidation>
    <dataValidation type="list" allowBlank="1" showInputMessage="1" showErrorMessage="1" sqref="C7:C138 E7:E138 G7:G138 I7:I138 K7:K138 M7:M138 O7:O138 Q7:Q138 S7:S138 U7:U138 W7:W138 Y7:Y138 AA7:AA138 AC7:AC138 AE7:AE138 AG7:AG138 AI7:AI138 AK7:AK138 AM7:AM138 AO7:AO138 AQ7:AQ138 AS7:AS138 AU7:AU138 AW7:AW138 AY7:AY138 BA7:BA138 BC7:BC138 BE7:BE138 BG7:BG138 BI7:BI138 BK7:BK138" xr:uid="{1DC3FDAB-8CBE-49CC-9929-5A69FCCA9975}">
      <formula1>INDIRECT(TURNOS)</formula1>
    </dataValidation>
    <dataValidation type="list" allowBlank="1" showInputMessage="1" showErrorMessage="1" sqref="D7:D138 F7:F138 H7:H138 J7:J138 L7:L138 N7:N138 P7:P138 R7:R138 T7:T138 V7:V138 X7:X138 Z7:Z138 AB7:AB138 AD7:AD138 AF7:AF138 AH7:AH138 AJ7:AJ138 AL7:AL138 AN7:AN138 AP7:AP138 AR7:AR138 AT7:AT138 AV7:AV138 AX7:AX138 AZ7:AZ138 BB7:BB138 BD7:BD138 BF7:BF138 BH7:BH138 BJ7:BJ138 BL7:BL138" xr:uid="{07628325-A3F0-4A57-82AE-2B01A26C9B4A}">
      <formula1>INDIRECT(FUNCION)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2A7F1-321C-4093-B353-B37036AB3425}">
  <dimension ref="A1:BH138"/>
  <sheetViews>
    <sheetView showGridLines="0" tabSelected="1" workbookViewId="0">
      <selection activeCell="C7" sqref="C7"/>
    </sheetView>
  </sheetViews>
  <sheetFormatPr baseColWidth="10" defaultRowHeight="14.4" x14ac:dyDescent="0.3"/>
  <cols>
    <col min="2" max="2" width="38.21875" bestFit="1" customWidth="1"/>
    <col min="3" max="3" width="16.88671875" bestFit="1" customWidth="1"/>
    <col min="4" max="4" width="16.88671875" customWidth="1"/>
    <col min="5" max="5" width="14.5546875" bestFit="1" customWidth="1"/>
    <col min="6" max="6" width="14.5546875" customWidth="1"/>
    <col min="7" max="7" width="14.5546875" bestFit="1" customWidth="1"/>
    <col min="8" max="8" width="14.5546875" customWidth="1"/>
    <col min="9" max="9" width="14.5546875" bestFit="1" customWidth="1"/>
    <col min="10" max="10" width="14.5546875" customWidth="1"/>
    <col min="11" max="11" width="14.5546875" bestFit="1" customWidth="1"/>
    <col min="12" max="12" width="14.5546875" customWidth="1"/>
    <col min="13" max="13" width="14.5546875" bestFit="1" customWidth="1"/>
    <col min="14" max="14" width="14.5546875" customWidth="1"/>
    <col min="15" max="15" width="14.5546875" bestFit="1" customWidth="1"/>
    <col min="16" max="16" width="14.5546875" customWidth="1"/>
    <col min="17" max="17" width="14.5546875" bestFit="1" customWidth="1"/>
    <col min="18" max="18" width="14.5546875" customWidth="1"/>
    <col min="19" max="19" width="14.5546875" bestFit="1" customWidth="1"/>
    <col min="20" max="20" width="14.5546875" customWidth="1"/>
    <col min="21" max="21" width="14.5546875" bestFit="1" customWidth="1"/>
    <col min="22" max="22" width="14.5546875" customWidth="1"/>
    <col min="23" max="23" width="14.5546875" bestFit="1" customWidth="1"/>
    <col min="24" max="24" width="14.5546875" customWidth="1"/>
    <col min="25" max="25" width="14.5546875" bestFit="1" customWidth="1"/>
    <col min="26" max="26" width="14.5546875" customWidth="1"/>
    <col min="27" max="27" width="14.5546875" bestFit="1" customWidth="1"/>
    <col min="28" max="28" width="14.5546875" customWidth="1"/>
    <col min="29" max="29" width="14.5546875" bestFit="1" customWidth="1"/>
    <col min="30" max="30" width="14.5546875" customWidth="1"/>
    <col min="31" max="31" width="14.5546875" bestFit="1" customWidth="1"/>
    <col min="32" max="32" width="14.5546875" customWidth="1"/>
    <col min="33" max="33" width="14.5546875" bestFit="1" customWidth="1"/>
    <col min="34" max="34" width="14.5546875" customWidth="1"/>
    <col min="35" max="35" width="14.5546875" bestFit="1" customWidth="1"/>
    <col min="36" max="36" width="14.5546875" customWidth="1"/>
    <col min="37" max="37" width="14.5546875" bestFit="1" customWidth="1"/>
    <col min="38" max="38" width="14.5546875" customWidth="1"/>
    <col min="39" max="39" width="14.5546875" bestFit="1" customWidth="1"/>
    <col min="40" max="40" width="14.5546875" customWidth="1"/>
    <col min="41" max="41" width="14.5546875" bestFit="1" customWidth="1"/>
    <col min="42" max="42" width="14.5546875" customWidth="1"/>
    <col min="43" max="43" width="14.5546875" bestFit="1" customWidth="1"/>
    <col min="44" max="44" width="14.5546875" customWidth="1"/>
    <col min="45" max="45" width="14.5546875" bestFit="1" customWidth="1"/>
    <col min="46" max="46" width="14.5546875" customWidth="1"/>
    <col min="47" max="47" width="14.5546875" bestFit="1" customWidth="1"/>
    <col min="48" max="48" width="14.5546875" customWidth="1"/>
    <col min="49" max="49" width="14.5546875" bestFit="1" customWidth="1"/>
    <col min="50" max="50" width="14.5546875" customWidth="1"/>
    <col min="51" max="51" width="14.5546875" bestFit="1" customWidth="1"/>
    <col min="52" max="52" width="14.5546875" customWidth="1"/>
    <col min="53" max="53" width="14.5546875" bestFit="1" customWidth="1"/>
    <col min="54" max="54" width="14.5546875" customWidth="1"/>
    <col min="55" max="55" width="14.5546875" bestFit="1" customWidth="1"/>
    <col min="56" max="56" width="14.5546875" customWidth="1"/>
    <col min="57" max="57" width="14.5546875" bestFit="1" customWidth="1"/>
    <col min="58" max="58" width="14.5546875" customWidth="1"/>
    <col min="59" max="59" width="14.5546875" bestFit="1" customWidth="1"/>
    <col min="60" max="60" width="14.5546875" customWidth="1"/>
  </cols>
  <sheetData>
    <row r="1" spans="1:60" ht="15" thickBot="1" x14ac:dyDescent="0.35"/>
    <row r="2" spans="1:60" ht="21.6" thickBot="1" x14ac:dyDescent="0.35">
      <c r="B2" s="3" t="s">
        <v>16</v>
      </c>
      <c r="C2" s="12" t="s">
        <v>17</v>
      </c>
      <c r="D2" s="14"/>
    </row>
    <row r="4" spans="1:60" ht="18" x14ac:dyDescent="0.3">
      <c r="B4" s="9" t="s">
        <v>20</v>
      </c>
      <c r="C4" s="9" t="str">
        <f>"W"&amp;TEXT(_xlfn.ISOWEEKNUM(C5),"00")</f>
        <v>W05</v>
      </c>
      <c r="D4" s="9" t="str">
        <f t="shared" ref="D4:BH4" si="0">"W"&amp;TEXT(_xlfn.ISOWEEKNUM(D5),"00")</f>
        <v>W05</v>
      </c>
      <c r="E4" s="9" t="str">
        <f t="shared" si="0"/>
        <v>W05</v>
      </c>
      <c r="F4" s="9" t="str">
        <f t="shared" si="0"/>
        <v>W05</v>
      </c>
      <c r="G4" s="9" t="str">
        <f t="shared" si="0"/>
        <v>W05</v>
      </c>
      <c r="H4" s="9" t="str">
        <f t="shared" si="0"/>
        <v>W05</v>
      </c>
      <c r="I4" s="9" t="str">
        <f t="shared" si="0"/>
        <v>W05</v>
      </c>
      <c r="J4" s="9" t="str">
        <f t="shared" si="0"/>
        <v>W05</v>
      </c>
      <c r="K4" s="9" t="str">
        <f t="shared" si="0"/>
        <v>W06</v>
      </c>
      <c r="L4" s="9" t="str">
        <f t="shared" si="0"/>
        <v>W06</v>
      </c>
      <c r="M4" s="9" t="str">
        <f t="shared" si="0"/>
        <v>W06</v>
      </c>
      <c r="N4" s="9" t="str">
        <f t="shared" si="0"/>
        <v>W06</v>
      </c>
      <c r="O4" s="9" t="str">
        <f t="shared" si="0"/>
        <v>W06</v>
      </c>
      <c r="P4" s="9" t="str">
        <f t="shared" si="0"/>
        <v>W06</v>
      </c>
      <c r="Q4" s="9" t="str">
        <f t="shared" si="0"/>
        <v>W06</v>
      </c>
      <c r="R4" s="9" t="str">
        <f t="shared" si="0"/>
        <v>W06</v>
      </c>
      <c r="S4" s="9" t="str">
        <f t="shared" si="0"/>
        <v>W06</v>
      </c>
      <c r="T4" s="9" t="str">
        <f t="shared" si="0"/>
        <v>W06</v>
      </c>
      <c r="U4" s="9" t="str">
        <f t="shared" si="0"/>
        <v>W06</v>
      </c>
      <c r="V4" s="9" t="str">
        <f t="shared" si="0"/>
        <v>W06</v>
      </c>
      <c r="W4" s="9" t="str">
        <f t="shared" si="0"/>
        <v>W06</v>
      </c>
      <c r="X4" s="9" t="str">
        <f t="shared" si="0"/>
        <v>W06</v>
      </c>
      <c r="Y4" s="9" t="str">
        <f t="shared" si="0"/>
        <v>W07</v>
      </c>
      <c r="Z4" s="9" t="str">
        <f t="shared" si="0"/>
        <v>W07</v>
      </c>
      <c r="AA4" s="9" t="str">
        <f t="shared" si="0"/>
        <v>W07</v>
      </c>
      <c r="AB4" s="9" t="str">
        <f t="shared" si="0"/>
        <v>W07</v>
      </c>
      <c r="AC4" s="9" t="str">
        <f t="shared" si="0"/>
        <v>W07</v>
      </c>
      <c r="AD4" s="9" t="str">
        <f t="shared" si="0"/>
        <v>W07</v>
      </c>
      <c r="AE4" s="9" t="str">
        <f t="shared" si="0"/>
        <v>W07</v>
      </c>
      <c r="AF4" s="9" t="str">
        <f t="shared" si="0"/>
        <v>W07</v>
      </c>
      <c r="AG4" s="9" t="str">
        <f t="shared" si="0"/>
        <v>W07</v>
      </c>
      <c r="AH4" s="9" t="str">
        <f t="shared" si="0"/>
        <v>W07</v>
      </c>
      <c r="AI4" s="9" t="str">
        <f t="shared" si="0"/>
        <v>W07</v>
      </c>
      <c r="AJ4" s="9" t="str">
        <f t="shared" si="0"/>
        <v>W07</v>
      </c>
      <c r="AK4" s="9" t="str">
        <f t="shared" si="0"/>
        <v>W07</v>
      </c>
      <c r="AL4" s="9" t="str">
        <f t="shared" si="0"/>
        <v>W07</v>
      </c>
      <c r="AM4" s="9" t="str">
        <f t="shared" si="0"/>
        <v>W08</v>
      </c>
      <c r="AN4" s="9" t="str">
        <f t="shared" si="0"/>
        <v>W08</v>
      </c>
      <c r="AO4" s="9" t="str">
        <f t="shared" si="0"/>
        <v>W08</v>
      </c>
      <c r="AP4" s="9" t="str">
        <f t="shared" si="0"/>
        <v>W08</v>
      </c>
      <c r="AQ4" s="9" t="str">
        <f t="shared" si="0"/>
        <v>W08</v>
      </c>
      <c r="AR4" s="9" t="str">
        <f t="shared" si="0"/>
        <v>W08</v>
      </c>
      <c r="AS4" s="9" t="str">
        <f t="shared" si="0"/>
        <v>W08</v>
      </c>
      <c r="AT4" s="9" t="str">
        <f t="shared" si="0"/>
        <v>W08</v>
      </c>
      <c r="AU4" s="9" t="str">
        <f t="shared" si="0"/>
        <v>W08</v>
      </c>
      <c r="AV4" s="9" t="str">
        <f t="shared" si="0"/>
        <v>W08</v>
      </c>
      <c r="AW4" s="9" t="str">
        <f t="shared" si="0"/>
        <v>W08</v>
      </c>
      <c r="AX4" s="9" t="str">
        <f t="shared" si="0"/>
        <v>W08</v>
      </c>
      <c r="AY4" s="9" t="str">
        <f t="shared" si="0"/>
        <v>W08</v>
      </c>
      <c r="AZ4" s="9" t="str">
        <f t="shared" si="0"/>
        <v>W08</v>
      </c>
      <c r="BA4" s="9" t="str">
        <f t="shared" si="0"/>
        <v>W09</v>
      </c>
      <c r="BB4" s="9" t="str">
        <f t="shared" si="0"/>
        <v>W09</v>
      </c>
      <c r="BC4" s="9" t="str">
        <f t="shared" si="0"/>
        <v>W09</v>
      </c>
      <c r="BD4" s="9" t="str">
        <f t="shared" si="0"/>
        <v>W09</v>
      </c>
      <c r="BE4" s="9" t="str">
        <f t="shared" si="0"/>
        <v>W09</v>
      </c>
      <c r="BF4" s="9" t="str">
        <f t="shared" si="0"/>
        <v>W09</v>
      </c>
      <c r="BG4" s="9" t="str">
        <f t="shared" si="0"/>
        <v>W09</v>
      </c>
      <c r="BH4" s="9" t="str">
        <f t="shared" si="0"/>
        <v>W09</v>
      </c>
    </row>
    <row r="5" spans="1:60" ht="18" x14ac:dyDescent="0.3">
      <c r="B5" s="9" t="s">
        <v>21</v>
      </c>
      <c r="C5" s="13">
        <v>44958</v>
      </c>
      <c r="D5" s="13">
        <v>44958</v>
      </c>
      <c r="E5" s="13">
        <v>45324</v>
      </c>
      <c r="F5" s="13">
        <v>45324</v>
      </c>
      <c r="G5" s="13">
        <v>45325</v>
      </c>
      <c r="H5" s="13">
        <v>45325</v>
      </c>
      <c r="I5" s="13">
        <v>45326</v>
      </c>
      <c r="J5" s="13">
        <v>45326</v>
      </c>
      <c r="K5" s="13">
        <v>45327</v>
      </c>
      <c r="L5" s="13">
        <v>45327</v>
      </c>
      <c r="M5" s="13">
        <v>45328</v>
      </c>
      <c r="N5" s="13">
        <v>45328</v>
      </c>
      <c r="O5" s="13">
        <v>45329</v>
      </c>
      <c r="P5" s="13">
        <v>45329</v>
      </c>
      <c r="Q5" s="13">
        <v>45330</v>
      </c>
      <c r="R5" s="13">
        <v>45330</v>
      </c>
      <c r="S5" s="13">
        <v>45331</v>
      </c>
      <c r="T5" s="13">
        <v>45331</v>
      </c>
      <c r="U5" s="13">
        <v>45332</v>
      </c>
      <c r="V5" s="13">
        <v>45332</v>
      </c>
      <c r="W5" s="13">
        <v>45333</v>
      </c>
      <c r="X5" s="13">
        <v>45333</v>
      </c>
      <c r="Y5" s="13">
        <v>45334</v>
      </c>
      <c r="Z5" s="13">
        <v>45334</v>
      </c>
      <c r="AA5" s="13">
        <v>45335</v>
      </c>
      <c r="AB5" s="13">
        <v>45335</v>
      </c>
      <c r="AC5" s="13">
        <v>45336</v>
      </c>
      <c r="AD5" s="13">
        <v>45336</v>
      </c>
      <c r="AE5" s="13">
        <v>45337</v>
      </c>
      <c r="AF5" s="13">
        <v>45337</v>
      </c>
      <c r="AG5" s="13">
        <v>45338</v>
      </c>
      <c r="AH5" s="13">
        <v>45338</v>
      </c>
      <c r="AI5" s="13">
        <v>45339</v>
      </c>
      <c r="AJ5" s="13">
        <v>45339</v>
      </c>
      <c r="AK5" s="13">
        <v>45340</v>
      </c>
      <c r="AL5" s="13">
        <v>45340</v>
      </c>
      <c r="AM5" s="13">
        <v>45341</v>
      </c>
      <c r="AN5" s="13">
        <v>45341</v>
      </c>
      <c r="AO5" s="13">
        <v>45342</v>
      </c>
      <c r="AP5" s="13">
        <v>45342</v>
      </c>
      <c r="AQ5" s="13">
        <v>45343</v>
      </c>
      <c r="AR5" s="13">
        <v>45343</v>
      </c>
      <c r="AS5" s="13">
        <v>45344</v>
      </c>
      <c r="AT5" s="13">
        <v>45344</v>
      </c>
      <c r="AU5" s="13">
        <v>45345</v>
      </c>
      <c r="AV5" s="13">
        <v>45345</v>
      </c>
      <c r="AW5" s="13">
        <v>45346</v>
      </c>
      <c r="AX5" s="13">
        <v>45346</v>
      </c>
      <c r="AY5" s="13">
        <v>45347</v>
      </c>
      <c r="AZ5" s="13">
        <v>45347</v>
      </c>
      <c r="BA5" s="13">
        <v>45348</v>
      </c>
      <c r="BB5" s="13">
        <v>45348</v>
      </c>
      <c r="BC5" s="13">
        <v>45349</v>
      </c>
      <c r="BD5" s="13">
        <v>45349</v>
      </c>
      <c r="BE5" s="13">
        <v>45350</v>
      </c>
      <c r="BF5" s="13">
        <v>45350</v>
      </c>
      <c r="BG5" s="13">
        <v>45351</v>
      </c>
      <c r="BH5" s="13">
        <v>45351</v>
      </c>
    </row>
    <row r="6" spans="1:60" ht="18" x14ac:dyDescent="0.3">
      <c r="A6" s="10" t="s">
        <v>213</v>
      </c>
      <c r="B6" s="10" t="s">
        <v>22</v>
      </c>
      <c r="C6" s="15" t="s">
        <v>44</v>
      </c>
      <c r="D6" s="15" t="s">
        <v>45</v>
      </c>
      <c r="E6" s="15" t="s">
        <v>44</v>
      </c>
      <c r="F6" s="15" t="s">
        <v>45</v>
      </c>
      <c r="G6" s="15" t="s">
        <v>44</v>
      </c>
      <c r="H6" s="15" t="s">
        <v>45</v>
      </c>
      <c r="I6" s="15" t="s">
        <v>44</v>
      </c>
      <c r="J6" s="15" t="s">
        <v>45</v>
      </c>
      <c r="K6" s="15" t="s">
        <v>44</v>
      </c>
      <c r="L6" s="15" t="s">
        <v>45</v>
      </c>
      <c r="M6" s="15" t="s">
        <v>44</v>
      </c>
      <c r="N6" s="15" t="s">
        <v>45</v>
      </c>
      <c r="O6" s="15" t="s">
        <v>44</v>
      </c>
      <c r="P6" s="15" t="s">
        <v>45</v>
      </c>
      <c r="Q6" s="15" t="s">
        <v>44</v>
      </c>
      <c r="R6" s="15" t="s">
        <v>45</v>
      </c>
      <c r="S6" s="15" t="s">
        <v>44</v>
      </c>
      <c r="T6" s="15" t="s">
        <v>45</v>
      </c>
      <c r="U6" s="15" t="s">
        <v>44</v>
      </c>
      <c r="V6" s="15" t="s">
        <v>45</v>
      </c>
      <c r="W6" s="15" t="s">
        <v>44</v>
      </c>
      <c r="X6" s="15" t="s">
        <v>45</v>
      </c>
      <c r="Y6" s="15" t="s">
        <v>44</v>
      </c>
      <c r="Z6" s="15" t="s">
        <v>45</v>
      </c>
      <c r="AA6" s="15" t="s">
        <v>44</v>
      </c>
      <c r="AB6" s="15" t="s">
        <v>45</v>
      </c>
      <c r="AC6" s="15" t="s">
        <v>44</v>
      </c>
      <c r="AD6" s="15" t="s">
        <v>45</v>
      </c>
      <c r="AE6" s="15" t="s">
        <v>44</v>
      </c>
      <c r="AF6" s="15" t="s">
        <v>45</v>
      </c>
      <c r="AG6" s="15" t="s">
        <v>44</v>
      </c>
      <c r="AH6" s="15" t="s">
        <v>45</v>
      </c>
      <c r="AI6" s="15" t="s">
        <v>44</v>
      </c>
      <c r="AJ6" s="15" t="s">
        <v>45</v>
      </c>
      <c r="AK6" s="15" t="s">
        <v>44</v>
      </c>
      <c r="AL6" s="15" t="s">
        <v>45</v>
      </c>
      <c r="AM6" s="15" t="s">
        <v>44</v>
      </c>
      <c r="AN6" s="15" t="s">
        <v>45</v>
      </c>
      <c r="AO6" s="15" t="s">
        <v>44</v>
      </c>
      <c r="AP6" s="15" t="s">
        <v>45</v>
      </c>
      <c r="AQ6" s="15" t="s">
        <v>44</v>
      </c>
      <c r="AR6" s="15" t="s">
        <v>45</v>
      </c>
      <c r="AS6" s="15" t="s">
        <v>44</v>
      </c>
      <c r="AT6" s="15" t="s">
        <v>45</v>
      </c>
      <c r="AU6" s="15" t="s">
        <v>44</v>
      </c>
      <c r="AV6" s="15" t="s">
        <v>45</v>
      </c>
      <c r="AW6" s="15" t="s">
        <v>44</v>
      </c>
      <c r="AX6" s="15" t="s">
        <v>45</v>
      </c>
      <c r="AY6" s="15" t="s">
        <v>44</v>
      </c>
      <c r="AZ6" s="15" t="s">
        <v>45</v>
      </c>
      <c r="BA6" s="15" t="s">
        <v>44</v>
      </c>
      <c r="BB6" s="15" t="s">
        <v>45</v>
      </c>
      <c r="BC6" s="15" t="s">
        <v>44</v>
      </c>
      <c r="BD6" s="15" t="s">
        <v>45</v>
      </c>
      <c r="BE6" s="15" t="s">
        <v>44</v>
      </c>
      <c r="BF6" s="15" t="s">
        <v>45</v>
      </c>
      <c r="BG6" s="15" t="s">
        <v>44</v>
      </c>
      <c r="BH6" s="15" t="s">
        <v>45</v>
      </c>
    </row>
    <row r="7" spans="1:60" x14ac:dyDescent="0.3">
      <c r="A7" s="6" cm="1">
        <f t="array" ref="A7:A42">INDEX(_xlfn._xlws.FILTER(Tabla3[], Tabla3[CLIENTE]=$C$2), ,1)</f>
        <v>22025</v>
      </c>
      <c r="B7" s="6" t="str" cm="1">
        <f t="array" ref="B7:B42">INDEX(_xlfn._xlws.FILTER(Tabla3[], Tabla3[CLIENTE]=$C$2), ,2)</f>
        <v>MUÑOZ RAMIREZ, CRISTIAN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</row>
    <row r="8" spans="1:60" x14ac:dyDescent="0.3">
      <c r="A8" s="6">
        <v>22457</v>
      </c>
      <c r="B8" s="6" t="str">
        <v>JACOME CASTAÑEDA, NICOLAS FERNANDO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</row>
    <row r="9" spans="1:60" x14ac:dyDescent="0.3">
      <c r="A9" s="6">
        <v>28197</v>
      </c>
      <c r="B9" s="6" t="str">
        <v>ESCUDERO DEL OLMO, JOSE LUIS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</row>
    <row r="10" spans="1:60" x14ac:dyDescent="0.3">
      <c r="A10" s="6">
        <v>28202</v>
      </c>
      <c r="B10" s="6" t="str">
        <v>AYMERICH MARTIN, JOSE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</row>
    <row r="11" spans="1:60" x14ac:dyDescent="0.3">
      <c r="A11" s="6">
        <v>28205</v>
      </c>
      <c r="B11" s="6" t="str">
        <v>RODA RODRIGUEZ, JUAN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</row>
    <row r="12" spans="1:60" x14ac:dyDescent="0.3">
      <c r="A12" s="6">
        <v>28207</v>
      </c>
      <c r="B12" s="6" t="str">
        <v>ALBA BLAZQUEZ, LORENA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</row>
    <row r="13" spans="1:60" x14ac:dyDescent="0.3">
      <c r="A13" s="6">
        <v>28208</v>
      </c>
      <c r="B13" s="6" t="str">
        <v>CAMPOS MATEO, ANA ISABEL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</row>
    <row r="14" spans="1:60" x14ac:dyDescent="0.3">
      <c r="A14" s="6">
        <v>28211</v>
      </c>
      <c r="B14" s="6" t="str">
        <v>GOMEZ MONTES, LUIS JAVIER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</row>
    <row r="15" spans="1:60" x14ac:dyDescent="0.3">
      <c r="A15" s="6">
        <v>28212</v>
      </c>
      <c r="B15" s="6" t="str">
        <v>GONZALEZ GARCIA, FERNANDO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</row>
    <row r="16" spans="1:60" x14ac:dyDescent="0.3">
      <c r="A16" s="6">
        <v>28213</v>
      </c>
      <c r="B16" s="6" t="str">
        <v>HERRERO SANCHEZ, JAVIER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</row>
    <row r="17" spans="1:60" x14ac:dyDescent="0.3">
      <c r="A17" s="6">
        <v>28215</v>
      </c>
      <c r="B17" s="6" t="str">
        <v>MORENO MAZA, PEDRO ANTONIO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</row>
    <row r="18" spans="1:60" x14ac:dyDescent="0.3">
      <c r="A18" s="6">
        <v>28217</v>
      </c>
      <c r="B18" s="6" t="str">
        <v>REGALADO SIERRA, OSCAR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</row>
    <row r="19" spans="1:60" x14ac:dyDescent="0.3">
      <c r="A19" s="6">
        <v>28222</v>
      </c>
      <c r="B19" s="6" t="str">
        <v>PINTADO PARRA, ALEJANDRO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</row>
    <row r="20" spans="1:60" x14ac:dyDescent="0.3">
      <c r="A20" s="6">
        <v>28223</v>
      </c>
      <c r="B20" s="6" t="str">
        <v>TAMAYO CARDONA, JORGE ELIECER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</row>
    <row r="21" spans="1:60" x14ac:dyDescent="0.3">
      <c r="A21" s="6">
        <v>28224</v>
      </c>
      <c r="B21" s="6" t="str">
        <v>TORBADO CAMPILLO, DARIO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</row>
    <row r="22" spans="1:60" x14ac:dyDescent="0.3">
      <c r="A22" s="6">
        <v>28229</v>
      </c>
      <c r="B22" s="6" t="str">
        <v>RIVERO GARCIA, AGUSTIN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</row>
    <row r="23" spans="1:60" x14ac:dyDescent="0.3">
      <c r="A23" s="6">
        <v>28230</v>
      </c>
      <c r="B23" s="6" t="str">
        <v>PIZARROSO LOPEZ, FRANCISCO JOSE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</row>
    <row r="24" spans="1:60" x14ac:dyDescent="0.3">
      <c r="A24" s="6">
        <v>28231</v>
      </c>
      <c r="B24" s="6" t="str">
        <v>MANZANERO ESCRIBANO, IVAN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</row>
    <row r="25" spans="1:60" x14ac:dyDescent="0.3">
      <c r="A25" s="6">
        <v>28232</v>
      </c>
      <c r="B25" s="6" t="str">
        <v>PLATA RODRIGUEZ, JOSE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</row>
    <row r="26" spans="1:60" x14ac:dyDescent="0.3">
      <c r="A26" s="6">
        <v>28234</v>
      </c>
      <c r="B26" s="6" t="str">
        <v>DOMINGUEZ MERCHAN, JAIME JESUS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</row>
    <row r="27" spans="1:60" x14ac:dyDescent="0.3">
      <c r="A27" s="6">
        <v>28235</v>
      </c>
      <c r="B27" s="6" t="str">
        <v>DIAZ GARCIA DEL RIO, JUAN MANUEL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</row>
    <row r="28" spans="1:60" x14ac:dyDescent="0.3">
      <c r="A28" s="6">
        <v>28323</v>
      </c>
      <c r="B28" s="6" t="str">
        <v>LOZANO CAMPON, JESUS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</row>
    <row r="29" spans="1:60" x14ac:dyDescent="0.3">
      <c r="A29" s="6">
        <v>36833</v>
      </c>
      <c r="B29" s="6" t="str">
        <v>MENASALVAS TELLEZ, JESUS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</row>
    <row r="30" spans="1:60" x14ac:dyDescent="0.3">
      <c r="A30" s="6">
        <v>39149</v>
      </c>
      <c r="B30" s="6" t="str">
        <v>SEGOVIA ARROBA, JOSE ANTONIO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</row>
    <row r="31" spans="1:60" x14ac:dyDescent="0.3">
      <c r="A31" s="6">
        <v>44254</v>
      </c>
      <c r="B31" s="6" t="str">
        <v>BARDON GARCIA, RICARDO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</row>
    <row r="32" spans="1:60" x14ac:dyDescent="0.3">
      <c r="A32" s="6">
        <v>49750</v>
      </c>
      <c r="B32" s="6" t="str">
        <v>TOBOSO ONTORIA, JUAN MANUEL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</row>
    <row r="33" spans="1:60" x14ac:dyDescent="0.3">
      <c r="A33" s="6">
        <v>51069</v>
      </c>
      <c r="B33" s="6" t="str">
        <v>GIL MEZCUA, IVAN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</row>
    <row r="34" spans="1:60" x14ac:dyDescent="0.3">
      <c r="A34" s="6">
        <v>51199</v>
      </c>
      <c r="B34" s="6" t="str">
        <v>DOMINGO DE LA LLANA, SAMUEL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</row>
    <row r="35" spans="1:60" x14ac:dyDescent="0.3">
      <c r="A35" s="6">
        <v>52379</v>
      </c>
      <c r="B35" s="6" t="str">
        <v>MOHAMED EL HADJ, MOHAMMED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</row>
    <row r="36" spans="1:60" x14ac:dyDescent="0.3">
      <c r="A36" s="6">
        <v>55721</v>
      </c>
      <c r="B36" s="6" t="str">
        <v xml:space="preserve"> CAMPOMA MOYA ANA RUT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</row>
    <row r="37" spans="1:60" x14ac:dyDescent="0.3">
      <c r="A37" s="6">
        <v>56070</v>
      </c>
      <c r="B37" s="6" t="str">
        <v>ENRIQUE CARABALLOS MELON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</row>
    <row r="38" spans="1:60" x14ac:dyDescent="0.3">
      <c r="A38" s="6">
        <v>56091</v>
      </c>
      <c r="B38" s="6" t="str">
        <v>BLASCO COLONIA, OMAR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</row>
    <row r="39" spans="1:60" x14ac:dyDescent="0.3">
      <c r="A39" s="6">
        <v>67844</v>
      </c>
      <c r="B39" s="6" t="str">
        <v>UNLAYAO CABRILLAS, JENNIFER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</row>
    <row r="40" spans="1:60" x14ac:dyDescent="0.3">
      <c r="A40" s="6">
        <v>71116</v>
      </c>
      <c r="B40" s="6" t="str">
        <v>MORATILLA OLIVA, ARANCHA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</row>
    <row r="41" spans="1:60" x14ac:dyDescent="0.3">
      <c r="A41" s="6">
        <v>75508</v>
      </c>
      <c r="B41" s="6" t="str">
        <v>MERINO PEREZ, CRISTINA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</row>
    <row r="42" spans="1:60" x14ac:dyDescent="0.3">
      <c r="A42" s="6">
        <v>75509</v>
      </c>
      <c r="B42" s="6" t="str">
        <v>ALCALDE LOPEZ, IRENE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</row>
    <row r="43" spans="1:60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</row>
    <row r="44" spans="1:60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</row>
    <row r="45" spans="1:60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</row>
    <row r="46" spans="1:60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</row>
    <row r="47" spans="1:60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</row>
    <row r="48" spans="1:60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</row>
    <row r="49" spans="1:60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</row>
    <row r="50" spans="1:60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</row>
    <row r="51" spans="1:60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</row>
    <row r="52" spans="1:60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</row>
    <row r="53" spans="1:60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</row>
    <row r="54" spans="1:60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</row>
    <row r="55" spans="1:60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</row>
    <row r="56" spans="1:60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</row>
    <row r="57" spans="1:60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</row>
    <row r="58" spans="1:60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</row>
    <row r="59" spans="1:60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</row>
    <row r="60" spans="1:60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</row>
    <row r="61" spans="1:60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</row>
    <row r="62" spans="1:60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</row>
    <row r="63" spans="1:60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</row>
    <row r="64" spans="1:60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</row>
    <row r="65" spans="1:60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</row>
    <row r="66" spans="1:60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</row>
    <row r="67" spans="1:60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</row>
    <row r="68" spans="1:60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</row>
    <row r="69" spans="1:60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</row>
    <row r="70" spans="1:60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</row>
    <row r="71" spans="1:60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</row>
    <row r="72" spans="1:60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</row>
    <row r="73" spans="1:60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</row>
    <row r="74" spans="1:60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</row>
    <row r="75" spans="1:60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</row>
    <row r="76" spans="1:60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</row>
    <row r="77" spans="1:60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</row>
    <row r="78" spans="1:60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</row>
    <row r="79" spans="1:60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</row>
    <row r="80" spans="1:60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</row>
    <row r="81" spans="1:60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</row>
    <row r="82" spans="1:60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</row>
    <row r="83" spans="1:60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</row>
    <row r="84" spans="1:60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</row>
    <row r="85" spans="1:60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</row>
    <row r="86" spans="1:60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</row>
    <row r="87" spans="1:60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</row>
    <row r="88" spans="1:60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</row>
    <row r="89" spans="1:60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</row>
    <row r="90" spans="1:60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</row>
    <row r="91" spans="1:60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</row>
    <row r="92" spans="1:60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</row>
    <row r="93" spans="1:60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</row>
    <row r="94" spans="1:60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</row>
    <row r="95" spans="1:60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</row>
    <row r="96" spans="1:60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</row>
    <row r="97" spans="1:60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</row>
    <row r="98" spans="1:60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</row>
    <row r="99" spans="1:60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</row>
    <row r="100" spans="1:60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</row>
    <row r="101" spans="1:60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</row>
    <row r="102" spans="1:60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</row>
    <row r="103" spans="1:60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</row>
    <row r="104" spans="1:60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</row>
    <row r="105" spans="1:60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</row>
    <row r="106" spans="1:60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</row>
    <row r="107" spans="1:60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</row>
    <row r="108" spans="1:60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</row>
    <row r="109" spans="1:60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</row>
    <row r="110" spans="1:60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</row>
    <row r="111" spans="1:60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</row>
    <row r="112" spans="1:60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</row>
    <row r="113" spans="1:60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</row>
    <row r="114" spans="1:60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</row>
    <row r="115" spans="1:60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</row>
    <row r="116" spans="1:60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</row>
    <row r="117" spans="1:60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</row>
    <row r="118" spans="1:60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</row>
    <row r="119" spans="1:60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</row>
    <row r="120" spans="1:60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</row>
    <row r="121" spans="1:60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</row>
    <row r="122" spans="1:60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</row>
    <row r="123" spans="1:60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</row>
    <row r="124" spans="1:60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</row>
    <row r="125" spans="1:60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</row>
    <row r="126" spans="1:60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</row>
    <row r="127" spans="1:60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</row>
    <row r="128" spans="1:60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</row>
    <row r="129" spans="1:60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</row>
    <row r="130" spans="1:60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</row>
    <row r="131" spans="1:60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</row>
    <row r="132" spans="1:60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</row>
    <row r="133" spans="1:60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</row>
    <row r="134" spans="1:60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</row>
    <row r="135" spans="1:60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</row>
    <row r="136" spans="1:60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</row>
    <row r="137" spans="1:60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</row>
    <row r="138" spans="1:60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</row>
  </sheetData>
  <dataValidations count="3">
    <dataValidation type="list" allowBlank="1" showInputMessage="1" showErrorMessage="1" sqref="D7:D138 F7:F138 H7:H138 J7:J138 L7:L138 N7:N138 P7:P138 R7:R138 T7:T138 V7:V138 X7:X138 Z7:Z138 AB7:AB138 AD7:AD138 AF7:AF138 AH7:AH138 AJ7:AJ138 AL7:AL138 AN7:AN138 AP7:AP138 AR7:AR138 AT7:AT138 AV7:AV138 AX7:AX138 AZ7:AZ138 BB7:BB138 BD7:BD138 BF7:BF138 BH7:BH138" xr:uid="{287EB940-DC13-463A-BBB2-26BC7161CB0E}">
      <formula1>INDIRECT(FUNCION)</formula1>
    </dataValidation>
    <dataValidation type="list" allowBlank="1" showInputMessage="1" showErrorMessage="1" sqref="C7:C138 E7:E138 G7:G138 I7:I138 K7:K138 M7:M138 O7:O138 Q7:Q138 S7:S138 U7:U138 W7:W138 Y7:Y138 AA7:AA138 AC7:AC138 AE7:AE138 AG7:AG138 AI7:AI138 AK7:AK138 AM7:AM138 AO7:AO138 AQ7:AQ138 AS7:AS138 AU7:AU138 AW7:AW138 AY7:AY138 BA7:BA138 BC7:BC138 BE7:BE138 BG7:BG138" xr:uid="{5968AF1A-5D21-47C7-A427-FFF53009F28C}">
      <formula1>INDIRECT(TURNOS)</formula1>
    </dataValidation>
    <dataValidation type="list" allowBlank="1" showInputMessage="1" showErrorMessage="1" sqref="C2:D2" xr:uid="{72757891-549D-4B0E-96FE-B340040EEF32}">
      <formula1>INDIRECT(OPERATIVA)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E34D1-40A3-40CC-8973-DE3247F6C258}">
  <dimension ref="D2:L180"/>
  <sheetViews>
    <sheetView workbookViewId="0">
      <selection activeCell="H9" sqref="H9"/>
    </sheetView>
  </sheetViews>
  <sheetFormatPr baseColWidth="10" defaultRowHeight="14.4" x14ac:dyDescent="0.3"/>
  <cols>
    <col min="4" max="4" width="12.5546875" customWidth="1"/>
    <col min="8" max="8" width="28.21875" bestFit="1" customWidth="1"/>
    <col min="9" max="9" width="38.88671875" bestFit="1" customWidth="1"/>
    <col min="10" max="10" width="25.77734375" bestFit="1" customWidth="1"/>
    <col min="11" max="11" width="32.21875" bestFit="1" customWidth="1"/>
    <col min="12" max="13" width="0" hidden="1" customWidth="1"/>
  </cols>
  <sheetData>
    <row r="2" spans="4:12" x14ac:dyDescent="0.3">
      <c r="L2" t="s">
        <v>18</v>
      </c>
    </row>
    <row r="4" spans="4:12" x14ac:dyDescent="0.3">
      <c r="D4" t="s">
        <v>16</v>
      </c>
      <c r="F4" t="s">
        <v>47</v>
      </c>
      <c r="H4" t="s">
        <v>207</v>
      </c>
      <c r="I4" t="s">
        <v>22</v>
      </c>
      <c r="J4" t="s">
        <v>208</v>
      </c>
      <c r="L4" t="str" cm="1">
        <f t="array" ref="L4:L59">CONCATENATE(_xlfn._xlws.FILTER(Tabla3[APC2_ID], Tabla3[CLIENTE]=L2), " ", _xlfn._xlws.FILTER(Tabla3[NOMBRE], Tabla3[CLIENTE]=L2))</f>
        <v>21074 LUCAS LOPEZ, ADRIAN</v>
      </c>
    </row>
    <row r="5" spans="4:12" x14ac:dyDescent="0.3">
      <c r="D5" t="s">
        <v>17</v>
      </c>
      <c r="F5" t="s">
        <v>40</v>
      </c>
      <c r="H5">
        <v>17121</v>
      </c>
      <c r="I5" t="s">
        <v>52</v>
      </c>
      <c r="J5" t="s">
        <v>19</v>
      </c>
      <c r="L5" t="str">
        <v>28477 PANTA TORRES, LUIS FERNANDO</v>
      </c>
    </row>
    <row r="6" spans="4:12" x14ac:dyDescent="0.3">
      <c r="D6" t="s">
        <v>18</v>
      </c>
      <c r="F6" t="s">
        <v>41</v>
      </c>
      <c r="H6">
        <v>20452</v>
      </c>
      <c r="I6" t="s">
        <v>53</v>
      </c>
      <c r="J6" t="s">
        <v>19</v>
      </c>
      <c r="L6" t="str">
        <v>37598 ANGEL CORREA, CATALINA</v>
      </c>
    </row>
    <row r="7" spans="4:12" x14ac:dyDescent="0.3">
      <c r="D7" t="s">
        <v>19</v>
      </c>
      <c r="F7" t="s">
        <v>42</v>
      </c>
      <c r="H7">
        <v>20828</v>
      </c>
      <c r="I7" t="s">
        <v>54</v>
      </c>
      <c r="J7" t="s">
        <v>19</v>
      </c>
      <c r="L7" t="str">
        <v>37606 BENALLAL EL HBIL, TOURIA</v>
      </c>
    </row>
    <row r="8" spans="4:12" x14ac:dyDescent="0.3">
      <c r="F8" t="s">
        <v>43</v>
      </c>
      <c r="H8">
        <v>21074</v>
      </c>
      <c r="I8" t="s">
        <v>55</v>
      </c>
      <c r="J8" t="s">
        <v>18</v>
      </c>
      <c r="L8" t="str">
        <v>39392 ZAIMI, OUFAE</v>
      </c>
    </row>
    <row r="9" spans="4:12" x14ac:dyDescent="0.3">
      <c r="F9" t="s">
        <v>48</v>
      </c>
      <c r="H9">
        <v>22025</v>
      </c>
      <c r="I9" t="s">
        <v>209</v>
      </c>
      <c r="J9" t="s">
        <v>17</v>
      </c>
      <c r="L9" t="str">
        <v>41265 MOLNAR, IULIA VIORICA</v>
      </c>
    </row>
    <row r="10" spans="4:12" x14ac:dyDescent="0.3">
      <c r="F10" t="s">
        <v>49</v>
      </c>
      <c r="H10">
        <v>22457</v>
      </c>
      <c r="I10" t="s">
        <v>210</v>
      </c>
      <c r="J10" t="s">
        <v>17</v>
      </c>
      <c r="L10" t="str">
        <v>44097 BENJAMIN SEDANO, KENNY</v>
      </c>
    </row>
    <row r="11" spans="4:12" x14ac:dyDescent="0.3">
      <c r="H11">
        <v>28197</v>
      </c>
      <c r="I11" t="s">
        <v>56</v>
      </c>
      <c r="J11" t="s">
        <v>17</v>
      </c>
      <c r="L11" t="str">
        <v>45973 BARCHINO PLATA, M VAL</v>
      </c>
    </row>
    <row r="12" spans="4:12" x14ac:dyDescent="0.3">
      <c r="H12">
        <v>28202</v>
      </c>
      <c r="I12" t="s">
        <v>57</v>
      </c>
      <c r="J12" t="s">
        <v>17</v>
      </c>
      <c r="L12" t="str">
        <v>45985 CARRASCO OTERO, VIRGINIA</v>
      </c>
    </row>
    <row r="13" spans="4:12" x14ac:dyDescent="0.3">
      <c r="H13">
        <v>28205</v>
      </c>
      <c r="I13" t="s">
        <v>58</v>
      </c>
      <c r="J13" t="s">
        <v>17</v>
      </c>
      <c r="L13" t="str">
        <v>45987 CASTILLO CATALINA, NURIA</v>
      </c>
    </row>
    <row r="14" spans="4:12" x14ac:dyDescent="0.3">
      <c r="H14">
        <v>28207</v>
      </c>
      <c r="I14" t="s">
        <v>59</v>
      </c>
      <c r="J14" t="s">
        <v>17</v>
      </c>
      <c r="L14" t="str">
        <v>45994 EGIDO LOPEZ, ROCIO</v>
      </c>
    </row>
    <row r="15" spans="4:12" x14ac:dyDescent="0.3">
      <c r="H15">
        <v>28208</v>
      </c>
      <c r="I15" t="s">
        <v>60</v>
      </c>
      <c r="J15" t="s">
        <v>17</v>
      </c>
      <c r="L15" t="str">
        <v>46000 GARCIA RIVERO, DANIEL</v>
      </c>
    </row>
    <row r="16" spans="4:12" x14ac:dyDescent="0.3">
      <c r="H16">
        <v>28211</v>
      </c>
      <c r="I16" t="s">
        <v>61</v>
      </c>
      <c r="J16" t="s">
        <v>17</v>
      </c>
      <c r="L16" t="str">
        <v>46001 GONZALEZ CRESPO, DANIEL</v>
      </c>
    </row>
    <row r="17" spans="4:12" x14ac:dyDescent="0.3">
      <c r="H17">
        <v>28212</v>
      </c>
      <c r="I17" t="s">
        <v>62</v>
      </c>
      <c r="J17" t="s">
        <v>17</v>
      </c>
      <c r="L17" t="str">
        <v>46005 LOPEZ FERNANDEZ, NURIA</v>
      </c>
    </row>
    <row r="18" spans="4:12" x14ac:dyDescent="0.3">
      <c r="H18">
        <v>28213</v>
      </c>
      <c r="I18" t="s">
        <v>63</v>
      </c>
      <c r="J18" t="s">
        <v>17</v>
      </c>
      <c r="L18" t="str">
        <v>46023 RECIO ORTIZ, DAVID</v>
      </c>
    </row>
    <row r="19" spans="4:12" x14ac:dyDescent="0.3">
      <c r="H19">
        <v>28214</v>
      </c>
      <c r="I19" t="s">
        <v>64</v>
      </c>
      <c r="J19" t="s">
        <v>19</v>
      </c>
      <c r="L19" t="str">
        <v>46027 RODRIGUEZ EXPOSITO, M MERCEDES</v>
      </c>
    </row>
    <row r="20" spans="4:12" x14ac:dyDescent="0.3">
      <c r="D20" t="s">
        <v>45</v>
      </c>
      <c r="H20">
        <v>28215</v>
      </c>
      <c r="I20" t="s">
        <v>65</v>
      </c>
      <c r="J20" t="s">
        <v>17</v>
      </c>
      <c r="L20" t="str">
        <v>46031 SALDAÑA OTERO, M LOURDES</v>
      </c>
    </row>
    <row r="21" spans="4:12" x14ac:dyDescent="0.3">
      <c r="D21" t="s">
        <v>50</v>
      </c>
      <c r="H21">
        <v>28217</v>
      </c>
      <c r="I21" t="s">
        <v>66</v>
      </c>
      <c r="J21" t="s">
        <v>17</v>
      </c>
      <c r="L21" t="str">
        <v>46034 SANTAMARIA GARCIA, ANGEL</v>
      </c>
    </row>
    <row r="22" spans="4:12" x14ac:dyDescent="0.3">
      <c r="D22" t="s">
        <v>51</v>
      </c>
      <c r="H22">
        <v>28222</v>
      </c>
      <c r="I22" t="s">
        <v>67</v>
      </c>
      <c r="J22" t="s">
        <v>17</v>
      </c>
      <c r="L22" t="str">
        <v>46702 AGUADO, BELÃ‰N</v>
      </c>
    </row>
    <row r="23" spans="4:12" x14ac:dyDescent="0.3">
      <c r="D23" t="s">
        <v>46</v>
      </c>
      <c r="H23">
        <v>28223</v>
      </c>
      <c r="I23" t="s">
        <v>68</v>
      </c>
      <c r="J23" t="s">
        <v>17</v>
      </c>
      <c r="L23" t="str">
        <v>48691 ORTEGA GARCIA, PABLO</v>
      </c>
    </row>
    <row r="24" spans="4:12" x14ac:dyDescent="0.3">
      <c r="D24" t="s">
        <v>214</v>
      </c>
      <c r="H24">
        <v>28224</v>
      </c>
      <c r="I24" t="s">
        <v>69</v>
      </c>
      <c r="J24" t="s">
        <v>17</v>
      </c>
      <c r="L24" t="str">
        <v>51509 FERNANDES RIBEIRO, SANDRA</v>
      </c>
    </row>
    <row r="25" spans="4:12" x14ac:dyDescent="0.3">
      <c r="H25">
        <v>28228</v>
      </c>
      <c r="I25" t="s">
        <v>70</v>
      </c>
      <c r="J25" t="s">
        <v>19</v>
      </c>
      <c r="L25" t="str">
        <v>52045 QUILCATE TIRADO, LUZ MARIA</v>
      </c>
    </row>
    <row r="26" spans="4:12" x14ac:dyDescent="0.3">
      <c r="H26">
        <v>28229</v>
      </c>
      <c r="I26" t="s">
        <v>71</v>
      </c>
      <c r="J26" t="s">
        <v>17</v>
      </c>
      <c r="L26" t="str">
        <v>55063 RADA GARCIA, ZULEICA DEL VALLE</v>
      </c>
    </row>
    <row r="27" spans="4:12" x14ac:dyDescent="0.3">
      <c r="H27">
        <v>28230</v>
      </c>
      <c r="I27" t="s">
        <v>72</v>
      </c>
      <c r="J27" t="s">
        <v>17</v>
      </c>
      <c r="L27" t="str">
        <v>57533 JUAREZ NARVAEZ, MILKY FRAYMILET</v>
      </c>
    </row>
    <row r="28" spans="4:12" x14ac:dyDescent="0.3">
      <c r="H28">
        <v>28231</v>
      </c>
      <c r="I28" t="s">
        <v>73</v>
      </c>
      <c r="J28" t="s">
        <v>17</v>
      </c>
      <c r="L28" t="str">
        <v>58865 GUTIERREZ PEREZ, DIEGO</v>
      </c>
    </row>
    <row r="29" spans="4:12" x14ac:dyDescent="0.3">
      <c r="H29">
        <v>28232</v>
      </c>
      <c r="I29" t="s">
        <v>74</v>
      </c>
      <c r="J29" t="s">
        <v>17</v>
      </c>
      <c r="L29" t="str">
        <v>60231 EL AISSATI, ZINEB</v>
      </c>
    </row>
    <row r="30" spans="4:12" x14ac:dyDescent="0.3">
      <c r="H30">
        <v>28234</v>
      </c>
      <c r="I30" t="s">
        <v>75</v>
      </c>
      <c r="J30" t="s">
        <v>17</v>
      </c>
      <c r="L30" t="str">
        <v>60645 MELGAR PUENTES, ELENA</v>
      </c>
    </row>
    <row r="31" spans="4:12" x14ac:dyDescent="0.3">
      <c r="H31">
        <v>28235</v>
      </c>
      <c r="I31" t="s">
        <v>76</v>
      </c>
      <c r="J31" t="s">
        <v>17</v>
      </c>
      <c r="L31" t="str">
        <v>61165 LOPEZ PEREZ, MONICA</v>
      </c>
    </row>
    <row r="32" spans="4:12" x14ac:dyDescent="0.3">
      <c r="H32">
        <v>28323</v>
      </c>
      <c r="I32" t="s">
        <v>77</v>
      </c>
      <c r="J32" t="s">
        <v>17</v>
      </c>
      <c r="L32" t="str">
        <v>61408 PEGERO MENDEZ, YORDARI</v>
      </c>
    </row>
    <row r="33" spans="8:12" x14ac:dyDescent="0.3">
      <c r="H33">
        <v>28477</v>
      </c>
      <c r="I33" t="s">
        <v>78</v>
      </c>
      <c r="J33" t="s">
        <v>18</v>
      </c>
      <c r="L33" t="str">
        <v>61856 KALISZ PATRYK</v>
      </c>
    </row>
    <row r="34" spans="8:12" x14ac:dyDescent="0.3">
      <c r="H34">
        <v>30342</v>
      </c>
      <c r="I34" t="s">
        <v>79</v>
      </c>
      <c r="J34" t="s">
        <v>19</v>
      </c>
      <c r="L34" t="str">
        <v>62882 AGUAYZA ADRIANA</v>
      </c>
    </row>
    <row r="35" spans="8:12" x14ac:dyDescent="0.3">
      <c r="H35">
        <v>36833</v>
      </c>
      <c r="I35" t="s">
        <v>80</v>
      </c>
      <c r="J35" t="s">
        <v>17</v>
      </c>
      <c r="L35" t="str">
        <v>65276 OSSA DAZA, DANIELA</v>
      </c>
    </row>
    <row r="36" spans="8:12" x14ac:dyDescent="0.3">
      <c r="H36">
        <v>37007</v>
      </c>
      <c r="I36" t="s">
        <v>81</v>
      </c>
      <c r="J36" t="s">
        <v>19</v>
      </c>
      <c r="L36" t="str">
        <v>67864 MAYORA VELASQUEZ, YANDRA CAROLINA</v>
      </c>
    </row>
    <row r="37" spans="8:12" x14ac:dyDescent="0.3">
      <c r="H37">
        <v>37139</v>
      </c>
      <c r="I37" t="s">
        <v>82</v>
      </c>
      <c r="J37" t="s">
        <v>19</v>
      </c>
      <c r="L37" t="str">
        <v>68811 CABRERIZO SELA, JAIME</v>
      </c>
    </row>
    <row r="38" spans="8:12" x14ac:dyDescent="0.3">
      <c r="H38">
        <v>37598</v>
      </c>
      <c r="I38" t="s">
        <v>83</v>
      </c>
      <c r="J38" t="s">
        <v>18</v>
      </c>
      <c r="L38" t="str">
        <v>68865 HUAMÃN ALIAGA, ESTHER MELY</v>
      </c>
    </row>
    <row r="39" spans="8:12" x14ac:dyDescent="0.3">
      <c r="H39">
        <v>37606</v>
      </c>
      <c r="I39" t="s">
        <v>84</v>
      </c>
      <c r="J39" t="s">
        <v>18</v>
      </c>
      <c r="L39" t="str">
        <v>69031 PEREZ RODRIGUEZ, JOSE YEINNER</v>
      </c>
    </row>
    <row r="40" spans="8:12" x14ac:dyDescent="0.3">
      <c r="H40">
        <v>37624</v>
      </c>
      <c r="I40" t="s">
        <v>85</v>
      </c>
      <c r="J40" t="s">
        <v>19</v>
      </c>
      <c r="L40" t="str">
        <v>69198 GARCIA LOZANO, JULIO</v>
      </c>
    </row>
    <row r="41" spans="8:12" x14ac:dyDescent="0.3">
      <c r="H41">
        <v>37978</v>
      </c>
      <c r="I41" t="s">
        <v>86</v>
      </c>
      <c r="J41" t="s">
        <v>19</v>
      </c>
      <c r="L41" t="str">
        <v>70372 AGARBANE, YASSIR</v>
      </c>
    </row>
    <row r="42" spans="8:12" x14ac:dyDescent="0.3">
      <c r="H42">
        <v>39149</v>
      </c>
      <c r="I42" t="s">
        <v>87</v>
      </c>
      <c r="J42" t="s">
        <v>17</v>
      </c>
      <c r="L42" t="str">
        <v>71761 VASQUEZ VASQUEZ, JEFFRY DANIEL</v>
      </c>
    </row>
    <row r="43" spans="8:12" x14ac:dyDescent="0.3">
      <c r="H43">
        <v>39392</v>
      </c>
      <c r="I43" t="s">
        <v>88</v>
      </c>
      <c r="J43" t="s">
        <v>18</v>
      </c>
      <c r="L43" t="str">
        <v>72051 BAUTISTA ADAN, MIRIAM</v>
      </c>
    </row>
    <row r="44" spans="8:12" x14ac:dyDescent="0.3">
      <c r="H44">
        <v>39488</v>
      </c>
      <c r="I44" t="s">
        <v>89</v>
      </c>
      <c r="J44" t="s">
        <v>19</v>
      </c>
      <c r="L44" t="str">
        <v>72233 PEREZ GARCIA, JOSE MIGUEL</v>
      </c>
    </row>
    <row r="45" spans="8:12" x14ac:dyDescent="0.3">
      <c r="H45">
        <v>40634</v>
      </c>
      <c r="I45" t="s">
        <v>90</v>
      </c>
      <c r="J45" t="s">
        <v>19</v>
      </c>
      <c r="L45" t="str">
        <v>73605 LEGARDA ROMEO, MARTA LIUDMILA</v>
      </c>
    </row>
    <row r="46" spans="8:12" x14ac:dyDescent="0.3">
      <c r="H46">
        <v>41265</v>
      </c>
      <c r="I46" t="s">
        <v>91</v>
      </c>
      <c r="J46" t="s">
        <v>18</v>
      </c>
      <c r="L46" t="str">
        <v>74100 MILLAN MILLA, LUIS BELTRAN</v>
      </c>
    </row>
    <row r="47" spans="8:12" x14ac:dyDescent="0.3">
      <c r="H47">
        <v>41352</v>
      </c>
      <c r="I47" t="s">
        <v>92</v>
      </c>
      <c r="J47" t="s">
        <v>19</v>
      </c>
      <c r="L47" t="str">
        <v>74101 ASTUDILLO, MARIA CANDELA</v>
      </c>
    </row>
    <row r="48" spans="8:12" x14ac:dyDescent="0.3">
      <c r="H48">
        <v>42305</v>
      </c>
      <c r="I48" t="s">
        <v>93</v>
      </c>
      <c r="J48" t="s">
        <v>19</v>
      </c>
      <c r="L48" t="str">
        <v>74465 RUIZ GOMEZ, NATALIA</v>
      </c>
    </row>
    <row r="49" spans="8:12" x14ac:dyDescent="0.3">
      <c r="H49">
        <v>42486</v>
      </c>
      <c r="I49" t="s">
        <v>211</v>
      </c>
      <c r="J49" t="s">
        <v>19</v>
      </c>
      <c r="L49" t="str">
        <v>74473 ALONZO BRUNELLO, DIEGO</v>
      </c>
    </row>
    <row r="50" spans="8:12" x14ac:dyDescent="0.3">
      <c r="H50">
        <v>42535</v>
      </c>
      <c r="I50" t="s">
        <v>94</v>
      </c>
      <c r="J50" t="s">
        <v>19</v>
      </c>
      <c r="L50" t="str">
        <v>74490 COSSIO CHONG, ALBERTO</v>
      </c>
    </row>
    <row r="51" spans="8:12" x14ac:dyDescent="0.3">
      <c r="H51">
        <v>42729</v>
      </c>
      <c r="I51" t="s">
        <v>95</v>
      </c>
      <c r="J51" t="s">
        <v>19</v>
      </c>
      <c r="L51" t="str">
        <v>75510 FERNANDEZ GUTIERREZ, ANDRES</v>
      </c>
    </row>
    <row r="52" spans="8:12" x14ac:dyDescent="0.3">
      <c r="H52">
        <v>42833</v>
      </c>
      <c r="I52" t="s">
        <v>96</v>
      </c>
      <c r="J52" t="s">
        <v>19</v>
      </c>
      <c r="L52" t="str">
        <v>75865 PAREDES, ELENA</v>
      </c>
    </row>
    <row r="53" spans="8:12" x14ac:dyDescent="0.3">
      <c r="H53">
        <v>42834</v>
      </c>
      <c r="I53" t="s">
        <v>97</v>
      </c>
      <c r="J53" t="s">
        <v>19</v>
      </c>
      <c r="L53" t="str">
        <v>75940 GUTIERREZ ALVAREZ, ANGIE LORENA</v>
      </c>
    </row>
    <row r="54" spans="8:12" x14ac:dyDescent="0.3">
      <c r="H54">
        <v>42843</v>
      </c>
      <c r="I54" t="s">
        <v>98</v>
      </c>
      <c r="J54" t="s">
        <v>19</v>
      </c>
      <c r="L54" t="str">
        <v>75979 OSPINA OSPINA, ANGIE CATERINE</v>
      </c>
    </row>
    <row r="55" spans="8:12" x14ac:dyDescent="0.3">
      <c r="H55">
        <v>42995</v>
      </c>
      <c r="I55" t="s">
        <v>99</v>
      </c>
      <c r="J55" t="s">
        <v>19</v>
      </c>
      <c r="L55" t="str">
        <v>76199 DIAZ MARVEZ, ARIANNY</v>
      </c>
    </row>
    <row r="56" spans="8:12" x14ac:dyDescent="0.3">
      <c r="H56">
        <v>44097</v>
      </c>
      <c r="I56" t="s">
        <v>100</v>
      </c>
      <c r="J56" t="s">
        <v>18</v>
      </c>
      <c r="L56" t="str">
        <v>76200 SANCHEZ GRAJALES, SEBASTIAN</v>
      </c>
    </row>
    <row r="57" spans="8:12" x14ac:dyDescent="0.3">
      <c r="H57">
        <v>44254</v>
      </c>
      <c r="I57" t="s">
        <v>101</v>
      </c>
      <c r="J57" t="s">
        <v>17</v>
      </c>
      <c r="L57" t="str">
        <v>76202 RIVADERO, YAMILA</v>
      </c>
    </row>
    <row r="58" spans="8:12" x14ac:dyDescent="0.3">
      <c r="H58">
        <v>44481</v>
      </c>
      <c r="I58" t="s">
        <v>102</v>
      </c>
      <c r="J58" t="s">
        <v>19</v>
      </c>
      <c r="L58" t="str">
        <v>76203 MALLQUI LIMACHE, ROSMERY</v>
      </c>
    </row>
    <row r="59" spans="8:12" x14ac:dyDescent="0.3">
      <c r="H59">
        <v>44900</v>
      </c>
      <c r="I59" t="s">
        <v>103</v>
      </c>
      <c r="J59" t="s">
        <v>19</v>
      </c>
      <c r="L59" t="str">
        <v>76212 CRESPO CRUZ, ROBERTO</v>
      </c>
    </row>
    <row r="60" spans="8:12" x14ac:dyDescent="0.3">
      <c r="H60">
        <v>45367</v>
      </c>
      <c r="I60" t="s">
        <v>104</v>
      </c>
      <c r="J60" t="s">
        <v>19</v>
      </c>
    </row>
    <row r="61" spans="8:12" x14ac:dyDescent="0.3">
      <c r="H61">
        <v>45973</v>
      </c>
      <c r="I61" t="s">
        <v>105</v>
      </c>
      <c r="J61" t="s">
        <v>18</v>
      </c>
    </row>
    <row r="62" spans="8:12" x14ac:dyDescent="0.3">
      <c r="H62">
        <v>45985</v>
      </c>
      <c r="I62" t="s">
        <v>106</v>
      </c>
      <c r="J62" t="s">
        <v>18</v>
      </c>
    </row>
    <row r="63" spans="8:12" x14ac:dyDescent="0.3">
      <c r="H63">
        <v>45987</v>
      </c>
      <c r="I63" t="s">
        <v>107</v>
      </c>
      <c r="J63" t="s">
        <v>18</v>
      </c>
    </row>
    <row r="64" spans="8:12" x14ac:dyDescent="0.3">
      <c r="H64">
        <v>45994</v>
      </c>
      <c r="I64" t="s">
        <v>108</v>
      </c>
      <c r="J64" t="s">
        <v>18</v>
      </c>
    </row>
    <row r="65" spans="8:10" x14ac:dyDescent="0.3">
      <c r="H65">
        <v>46000</v>
      </c>
      <c r="I65" t="s">
        <v>109</v>
      </c>
      <c r="J65" t="s">
        <v>18</v>
      </c>
    </row>
    <row r="66" spans="8:10" x14ac:dyDescent="0.3">
      <c r="H66">
        <v>46001</v>
      </c>
      <c r="I66" t="s">
        <v>110</v>
      </c>
      <c r="J66" t="s">
        <v>18</v>
      </c>
    </row>
    <row r="67" spans="8:10" x14ac:dyDescent="0.3">
      <c r="H67">
        <v>46005</v>
      </c>
      <c r="I67" t="s">
        <v>111</v>
      </c>
      <c r="J67" t="s">
        <v>18</v>
      </c>
    </row>
    <row r="68" spans="8:10" x14ac:dyDescent="0.3">
      <c r="H68">
        <v>46023</v>
      </c>
      <c r="I68" t="s">
        <v>112</v>
      </c>
      <c r="J68" t="s">
        <v>18</v>
      </c>
    </row>
    <row r="69" spans="8:10" x14ac:dyDescent="0.3">
      <c r="H69">
        <v>46027</v>
      </c>
      <c r="I69" t="s">
        <v>113</v>
      </c>
      <c r="J69" t="s">
        <v>18</v>
      </c>
    </row>
    <row r="70" spans="8:10" x14ac:dyDescent="0.3">
      <c r="H70">
        <v>46031</v>
      </c>
      <c r="I70" t="s">
        <v>212</v>
      </c>
      <c r="J70" t="s">
        <v>18</v>
      </c>
    </row>
    <row r="71" spans="8:10" x14ac:dyDescent="0.3">
      <c r="H71">
        <v>46034</v>
      </c>
      <c r="I71" t="s">
        <v>114</v>
      </c>
      <c r="J71" t="s">
        <v>18</v>
      </c>
    </row>
    <row r="72" spans="8:10" x14ac:dyDescent="0.3">
      <c r="H72">
        <v>46702</v>
      </c>
      <c r="I72" t="s">
        <v>115</v>
      </c>
      <c r="J72" t="s">
        <v>18</v>
      </c>
    </row>
    <row r="73" spans="8:10" x14ac:dyDescent="0.3">
      <c r="H73">
        <v>46989</v>
      </c>
      <c r="I73" t="s">
        <v>116</v>
      </c>
      <c r="J73" t="s">
        <v>19</v>
      </c>
    </row>
    <row r="74" spans="8:10" x14ac:dyDescent="0.3">
      <c r="H74">
        <v>47627</v>
      </c>
      <c r="I74" t="s">
        <v>117</v>
      </c>
      <c r="J74" t="s">
        <v>19</v>
      </c>
    </row>
    <row r="75" spans="8:10" x14ac:dyDescent="0.3">
      <c r="H75">
        <v>47748</v>
      </c>
      <c r="I75" t="s">
        <v>118</v>
      </c>
      <c r="J75" t="s">
        <v>19</v>
      </c>
    </row>
    <row r="76" spans="8:10" x14ac:dyDescent="0.3">
      <c r="H76">
        <v>47868</v>
      </c>
      <c r="I76" t="s">
        <v>119</v>
      </c>
      <c r="J76" t="s">
        <v>19</v>
      </c>
    </row>
    <row r="77" spans="8:10" x14ac:dyDescent="0.3">
      <c r="H77">
        <v>48691</v>
      </c>
      <c r="I77" t="s">
        <v>120</v>
      </c>
      <c r="J77" t="s">
        <v>18</v>
      </c>
    </row>
    <row r="78" spans="8:10" x14ac:dyDescent="0.3">
      <c r="H78">
        <v>49750</v>
      </c>
      <c r="I78" t="s">
        <v>121</v>
      </c>
      <c r="J78" t="s">
        <v>17</v>
      </c>
    </row>
    <row r="79" spans="8:10" x14ac:dyDescent="0.3">
      <c r="H79">
        <v>49857</v>
      </c>
      <c r="I79" t="s">
        <v>122</v>
      </c>
      <c r="J79" t="s">
        <v>19</v>
      </c>
    </row>
    <row r="80" spans="8:10" x14ac:dyDescent="0.3">
      <c r="H80">
        <v>50976</v>
      </c>
      <c r="I80" t="s">
        <v>123</v>
      </c>
      <c r="J80" t="s">
        <v>19</v>
      </c>
    </row>
    <row r="81" spans="8:10" x14ac:dyDescent="0.3">
      <c r="H81">
        <v>51003</v>
      </c>
      <c r="I81" t="s">
        <v>124</v>
      </c>
      <c r="J81" t="s">
        <v>19</v>
      </c>
    </row>
    <row r="82" spans="8:10" x14ac:dyDescent="0.3">
      <c r="H82">
        <v>51020</v>
      </c>
      <c r="I82" t="s">
        <v>125</v>
      </c>
      <c r="J82" t="s">
        <v>19</v>
      </c>
    </row>
    <row r="83" spans="8:10" x14ac:dyDescent="0.3">
      <c r="H83">
        <v>51069</v>
      </c>
      <c r="I83" t="s">
        <v>126</v>
      </c>
      <c r="J83" t="s">
        <v>17</v>
      </c>
    </row>
    <row r="84" spans="8:10" x14ac:dyDescent="0.3">
      <c r="H84">
        <v>51199</v>
      </c>
      <c r="I84" t="s">
        <v>127</v>
      </c>
      <c r="J84" t="s">
        <v>17</v>
      </c>
    </row>
    <row r="85" spans="8:10" x14ac:dyDescent="0.3">
      <c r="H85">
        <v>51509</v>
      </c>
      <c r="I85" t="s">
        <v>128</v>
      </c>
      <c r="J85" t="s">
        <v>18</v>
      </c>
    </row>
    <row r="86" spans="8:10" x14ac:dyDescent="0.3">
      <c r="H86">
        <v>51522</v>
      </c>
      <c r="I86" t="s">
        <v>129</v>
      </c>
      <c r="J86" t="s">
        <v>19</v>
      </c>
    </row>
    <row r="87" spans="8:10" x14ac:dyDescent="0.3">
      <c r="H87">
        <v>52041</v>
      </c>
      <c r="I87" t="s">
        <v>130</v>
      </c>
      <c r="J87" t="s">
        <v>19</v>
      </c>
    </row>
    <row r="88" spans="8:10" x14ac:dyDescent="0.3">
      <c r="H88">
        <v>52045</v>
      </c>
      <c r="I88" t="s">
        <v>131</v>
      </c>
      <c r="J88" t="s">
        <v>18</v>
      </c>
    </row>
    <row r="89" spans="8:10" x14ac:dyDescent="0.3">
      <c r="H89">
        <v>52379</v>
      </c>
      <c r="I89" t="s">
        <v>132</v>
      </c>
      <c r="J89" t="s">
        <v>17</v>
      </c>
    </row>
    <row r="90" spans="8:10" x14ac:dyDescent="0.3">
      <c r="H90">
        <v>52965</v>
      </c>
      <c r="I90" t="s">
        <v>133</v>
      </c>
      <c r="J90" t="s">
        <v>19</v>
      </c>
    </row>
    <row r="91" spans="8:10" x14ac:dyDescent="0.3">
      <c r="H91">
        <v>54199</v>
      </c>
      <c r="I91" t="s">
        <v>134</v>
      </c>
      <c r="J91" t="s">
        <v>19</v>
      </c>
    </row>
    <row r="92" spans="8:10" x14ac:dyDescent="0.3">
      <c r="H92">
        <v>54860</v>
      </c>
      <c r="I92" t="s">
        <v>135</v>
      </c>
      <c r="J92" t="s">
        <v>19</v>
      </c>
    </row>
    <row r="93" spans="8:10" x14ac:dyDescent="0.3">
      <c r="H93">
        <v>55063</v>
      </c>
      <c r="I93" t="s">
        <v>136</v>
      </c>
      <c r="J93" t="s">
        <v>18</v>
      </c>
    </row>
    <row r="94" spans="8:10" x14ac:dyDescent="0.3">
      <c r="H94">
        <v>55131</v>
      </c>
      <c r="I94" t="s">
        <v>137</v>
      </c>
      <c r="J94" t="s">
        <v>19</v>
      </c>
    </row>
    <row r="95" spans="8:10" x14ac:dyDescent="0.3">
      <c r="H95">
        <v>55178</v>
      </c>
      <c r="I95" t="s">
        <v>138</v>
      </c>
      <c r="J95" t="s">
        <v>19</v>
      </c>
    </row>
    <row r="96" spans="8:10" x14ac:dyDescent="0.3">
      <c r="H96">
        <v>55721</v>
      </c>
      <c r="I96" t="s">
        <v>139</v>
      </c>
      <c r="J96" t="s">
        <v>17</v>
      </c>
    </row>
    <row r="97" spans="8:10" x14ac:dyDescent="0.3">
      <c r="H97">
        <v>55722</v>
      </c>
      <c r="I97" t="s">
        <v>140</v>
      </c>
      <c r="J97" t="s">
        <v>19</v>
      </c>
    </row>
    <row r="98" spans="8:10" x14ac:dyDescent="0.3">
      <c r="H98">
        <v>56070</v>
      </c>
      <c r="I98" t="s">
        <v>141</v>
      </c>
      <c r="J98" t="s">
        <v>17</v>
      </c>
    </row>
    <row r="99" spans="8:10" x14ac:dyDescent="0.3">
      <c r="H99">
        <v>56087</v>
      </c>
      <c r="I99" t="s">
        <v>142</v>
      </c>
      <c r="J99" t="s">
        <v>19</v>
      </c>
    </row>
    <row r="100" spans="8:10" x14ac:dyDescent="0.3">
      <c r="H100">
        <v>56091</v>
      </c>
      <c r="I100" t="s">
        <v>143</v>
      </c>
      <c r="J100" t="s">
        <v>17</v>
      </c>
    </row>
    <row r="101" spans="8:10" x14ac:dyDescent="0.3">
      <c r="H101">
        <v>56976</v>
      </c>
      <c r="I101" t="s">
        <v>144</v>
      </c>
      <c r="J101" t="s">
        <v>19</v>
      </c>
    </row>
    <row r="102" spans="8:10" x14ac:dyDescent="0.3">
      <c r="H102">
        <v>57196</v>
      </c>
      <c r="I102" t="s">
        <v>145</v>
      </c>
      <c r="J102" t="s">
        <v>19</v>
      </c>
    </row>
    <row r="103" spans="8:10" x14ac:dyDescent="0.3">
      <c r="H103">
        <v>57533</v>
      </c>
      <c r="I103" t="s">
        <v>146</v>
      </c>
      <c r="J103" t="s">
        <v>18</v>
      </c>
    </row>
    <row r="104" spans="8:10" x14ac:dyDescent="0.3">
      <c r="H104">
        <v>58082</v>
      </c>
      <c r="I104" t="s">
        <v>147</v>
      </c>
      <c r="J104" t="s">
        <v>19</v>
      </c>
    </row>
    <row r="105" spans="8:10" x14ac:dyDescent="0.3">
      <c r="H105">
        <v>58084</v>
      </c>
      <c r="I105" t="s">
        <v>148</v>
      </c>
      <c r="J105" t="s">
        <v>19</v>
      </c>
    </row>
    <row r="106" spans="8:10" x14ac:dyDescent="0.3">
      <c r="H106">
        <v>58865</v>
      </c>
      <c r="I106" t="s">
        <v>149</v>
      </c>
      <c r="J106" t="s">
        <v>18</v>
      </c>
    </row>
    <row r="107" spans="8:10" x14ac:dyDescent="0.3">
      <c r="H107">
        <v>59193</v>
      </c>
      <c r="I107" t="s">
        <v>150</v>
      </c>
      <c r="J107" t="s">
        <v>19</v>
      </c>
    </row>
    <row r="108" spans="8:10" x14ac:dyDescent="0.3">
      <c r="H108">
        <v>59360</v>
      </c>
      <c r="I108" t="s">
        <v>151</v>
      </c>
      <c r="J108" t="s">
        <v>19</v>
      </c>
    </row>
    <row r="109" spans="8:10" x14ac:dyDescent="0.3">
      <c r="H109">
        <v>59465</v>
      </c>
      <c r="I109" t="s">
        <v>152</v>
      </c>
      <c r="J109" t="s">
        <v>19</v>
      </c>
    </row>
    <row r="110" spans="8:10" x14ac:dyDescent="0.3">
      <c r="H110">
        <v>60231</v>
      </c>
      <c r="I110" t="s">
        <v>153</v>
      </c>
      <c r="J110" t="s">
        <v>18</v>
      </c>
    </row>
    <row r="111" spans="8:10" x14ac:dyDescent="0.3">
      <c r="H111">
        <v>60645</v>
      </c>
      <c r="I111" t="s">
        <v>154</v>
      </c>
      <c r="J111" t="s">
        <v>18</v>
      </c>
    </row>
    <row r="112" spans="8:10" x14ac:dyDescent="0.3">
      <c r="H112">
        <v>61165</v>
      </c>
      <c r="I112" t="s">
        <v>155</v>
      </c>
      <c r="J112" t="s">
        <v>18</v>
      </c>
    </row>
    <row r="113" spans="8:10" x14ac:dyDescent="0.3">
      <c r="H113">
        <v>61408</v>
      </c>
      <c r="I113" t="s">
        <v>156</v>
      </c>
      <c r="J113" t="s">
        <v>18</v>
      </c>
    </row>
    <row r="114" spans="8:10" x14ac:dyDescent="0.3">
      <c r="H114">
        <v>61657</v>
      </c>
      <c r="I114" t="s">
        <v>157</v>
      </c>
      <c r="J114" t="s">
        <v>19</v>
      </c>
    </row>
    <row r="115" spans="8:10" x14ac:dyDescent="0.3">
      <c r="H115">
        <v>61856</v>
      </c>
      <c r="I115" t="s">
        <v>158</v>
      </c>
      <c r="J115" t="s">
        <v>18</v>
      </c>
    </row>
    <row r="116" spans="8:10" x14ac:dyDescent="0.3">
      <c r="H116">
        <v>62504</v>
      </c>
      <c r="I116" t="s">
        <v>159</v>
      </c>
      <c r="J116" t="s">
        <v>19</v>
      </c>
    </row>
    <row r="117" spans="8:10" x14ac:dyDescent="0.3">
      <c r="H117">
        <v>62882</v>
      </c>
      <c r="I117" t="s">
        <v>160</v>
      </c>
      <c r="J117" t="s">
        <v>18</v>
      </c>
    </row>
    <row r="118" spans="8:10" x14ac:dyDescent="0.3">
      <c r="H118">
        <v>65276</v>
      </c>
      <c r="I118" t="s">
        <v>161</v>
      </c>
      <c r="J118" t="s">
        <v>18</v>
      </c>
    </row>
    <row r="119" spans="8:10" x14ac:dyDescent="0.3">
      <c r="H119">
        <v>66380</v>
      </c>
      <c r="I119" t="s">
        <v>162</v>
      </c>
      <c r="J119" t="s">
        <v>19</v>
      </c>
    </row>
    <row r="120" spans="8:10" x14ac:dyDescent="0.3">
      <c r="H120">
        <v>67033</v>
      </c>
      <c r="I120" t="s">
        <v>163</v>
      </c>
      <c r="J120" t="s">
        <v>19</v>
      </c>
    </row>
    <row r="121" spans="8:10" x14ac:dyDescent="0.3">
      <c r="H121">
        <v>67326</v>
      </c>
      <c r="I121" t="s">
        <v>164</v>
      </c>
      <c r="J121" t="s">
        <v>19</v>
      </c>
    </row>
    <row r="122" spans="8:10" x14ac:dyDescent="0.3">
      <c r="H122">
        <v>67374</v>
      </c>
      <c r="I122" t="s">
        <v>165</v>
      </c>
      <c r="J122" t="s">
        <v>19</v>
      </c>
    </row>
    <row r="123" spans="8:10" x14ac:dyDescent="0.3">
      <c r="H123">
        <v>67376</v>
      </c>
      <c r="I123" t="s">
        <v>166</v>
      </c>
      <c r="J123" t="s">
        <v>19</v>
      </c>
    </row>
    <row r="124" spans="8:10" x14ac:dyDescent="0.3">
      <c r="H124">
        <v>67443</v>
      </c>
      <c r="I124" t="s">
        <v>167</v>
      </c>
      <c r="J124" t="s">
        <v>19</v>
      </c>
    </row>
    <row r="125" spans="8:10" x14ac:dyDescent="0.3">
      <c r="H125">
        <v>67555</v>
      </c>
      <c r="I125" t="s">
        <v>168</v>
      </c>
      <c r="J125" t="s">
        <v>19</v>
      </c>
    </row>
    <row r="126" spans="8:10" x14ac:dyDescent="0.3">
      <c r="H126">
        <v>67562</v>
      </c>
      <c r="I126" t="s">
        <v>169</v>
      </c>
      <c r="J126" t="s">
        <v>19</v>
      </c>
    </row>
    <row r="127" spans="8:10" x14ac:dyDescent="0.3">
      <c r="H127">
        <v>67697</v>
      </c>
      <c r="I127" t="s">
        <v>170</v>
      </c>
      <c r="J127" t="s">
        <v>19</v>
      </c>
    </row>
    <row r="128" spans="8:10" x14ac:dyDescent="0.3">
      <c r="H128">
        <v>67709</v>
      </c>
      <c r="I128" t="s">
        <v>171</v>
      </c>
      <c r="J128" t="s">
        <v>19</v>
      </c>
    </row>
    <row r="129" spans="8:10" x14ac:dyDescent="0.3">
      <c r="H129">
        <v>67710</v>
      </c>
      <c r="I129" t="s">
        <v>172</v>
      </c>
      <c r="J129" t="s">
        <v>19</v>
      </c>
    </row>
    <row r="130" spans="8:10" x14ac:dyDescent="0.3">
      <c r="H130">
        <v>67844</v>
      </c>
      <c r="I130" t="s">
        <v>173</v>
      </c>
      <c r="J130" t="s">
        <v>17</v>
      </c>
    </row>
    <row r="131" spans="8:10" x14ac:dyDescent="0.3">
      <c r="H131">
        <v>67864</v>
      </c>
      <c r="I131" t="s">
        <v>174</v>
      </c>
      <c r="J131" t="s">
        <v>18</v>
      </c>
    </row>
    <row r="132" spans="8:10" x14ac:dyDescent="0.3">
      <c r="H132">
        <v>67946</v>
      </c>
      <c r="I132" t="s">
        <v>175</v>
      </c>
      <c r="J132" t="s">
        <v>19</v>
      </c>
    </row>
    <row r="133" spans="8:10" x14ac:dyDescent="0.3">
      <c r="H133">
        <v>68811</v>
      </c>
      <c r="I133" t="s">
        <v>176</v>
      </c>
      <c r="J133" t="s">
        <v>18</v>
      </c>
    </row>
    <row r="134" spans="8:10" x14ac:dyDescent="0.3">
      <c r="H134">
        <v>68865</v>
      </c>
      <c r="I134" t="s">
        <v>177</v>
      </c>
      <c r="J134" t="s">
        <v>18</v>
      </c>
    </row>
    <row r="135" spans="8:10" x14ac:dyDescent="0.3">
      <c r="H135">
        <v>69031</v>
      </c>
      <c r="I135" t="s">
        <v>178</v>
      </c>
      <c r="J135" t="s">
        <v>18</v>
      </c>
    </row>
    <row r="136" spans="8:10" x14ac:dyDescent="0.3">
      <c r="H136">
        <v>69198</v>
      </c>
      <c r="I136" t="s">
        <v>179</v>
      </c>
      <c r="J136" t="s">
        <v>18</v>
      </c>
    </row>
    <row r="137" spans="8:10" x14ac:dyDescent="0.3">
      <c r="H137">
        <v>70053</v>
      </c>
      <c r="I137" t="s">
        <v>180</v>
      </c>
      <c r="J137" t="s">
        <v>19</v>
      </c>
    </row>
    <row r="138" spans="8:10" x14ac:dyDescent="0.3">
      <c r="H138">
        <v>70372</v>
      </c>
      <c r="I138" t="s">
        <v>23</v>
      </c>
      <c r="J138" t="s">
        <v>18</v>
      </c>
    </row>
    <row r="139" spans="8:10" x14ac:dyDescent="0.3">
      <c r="H139">
        <v>70629</v>
      </c>
      <c r="I139" t="s">
        <v>24</v>
      </c>
      <c r="J139" t="s">
        <v>19</v>
      </c>
    </row>
    <row r="140" spans="8:10" x14ac:dyDescent="0.3">
      <c r="H140">
        <v>70895</v>
      </c>
      <c r="I140" t="s">
        <v>25</v>
      </c>
      <c r="J140" t="s">
        <v>19</v>
      </c>
    </row>
    <row r="141" spans="8:10" x14ac:dyDescent="0.3">
      <c r="H141">
        <v>71116</v>
      </c>
      <c r="I141" t="s">
        <v>26</v>
      </c>
      <c r="J141" t="s">
        <v>17</v>
      </c>
    </row>
    <row r="142" spans="8:10" x14ac:dyDescent="0.3">
      <c r="H142">
        <v>71129</v>
      </c>
      <c r="I142" t="s">
        <v>27</v>
      </c>
      <c r="J142" t="s">
        <v>19</v>
      </c>
    </row>
    <row r="143" spans="8:10" x14ac:dyDescent="0.3">
      <c r="H143">
        <v>71132</v>
      </c>
      <c r="I143" t="s">
        <v>28</v>
      </c>
      <c r="J143" t="s">
        <v>19</v>
      </c>
    </row>
    <row r="144" spans="8:10" x14ac:dyDescent="0.3">
      <c r="H144">
        <v>71244</v>
      </c>
      <c r="I144" t="s">
        <v>29</v>
      </c>
      <c r="J144" t="s">
        <v>19</v>
      </c>
    </row>
    <row r="145" spans="8:10" x14ac:dyDescent="0.3">
      <c r="H145">
        <v>71375</v>
      </c>
      <c r="I145" t="s">
        <v>181</v>
      </c>
      <c r="J145" t="s">
        <v>19</v>
      </c>
    </row>
    <row r="146" spans="8:10" x14ac:dyDescent="0.3">
      <c r="H146">
        <v>71437</v>
      </c>
      <c r="I146" t="s">
        <v>30</v>
      </c>
      <c r="J146" t="s">
        <v>19</v>
      </c>
    </row>
    <row r="147" spans="8:10" x14ac:dyDescent="0.3">
      <c r="H147">
        <v>71761</v>
      </c>
      <c r="I147" t="s">
        <v>31</v>
      </c>
      <c r="J147" t="s">
        <v>18</v>
      </c>
    </row>
    <row r="148" spans="8:10" x14ac:dyDescent="0.3">
      <c r="H148">
        <v>71764</v>
      </c>
      <c r="I148" t="s">
        <v>32</v>
      </c>
      <c r="J148" t="s">
        <v>19</v>
      </c>
    </row>
    <row r="149" spans="8:10" x14ac:dyDescent="0.3">
      <c r="H149">
        <v>72051</v>
      </c>
      <c r="I149" t="s">
        <v>33</v>
      </c>
      <c r="J149" t="s">
        <v>18</v>
      </c>
    </row>
    <row r="150" spans="8:10" x14ac:dyDescent="0.3">
      <c r="H150">
        <v>72233</v>
      </c>
      <c r="I150" t="s">
        <v>34</v>
      </c>
      <c r="J150" t="s">
        <v>18</v>
      </c>
    </row>
    <row r="151" spans="8:10" x14ac:dyDescent="0.3">
      <c r="H151">
        <v>73305</v>
      </c>
      <c r="I151" t="s">
        <v>182</v>
      </c>
      <c r="J151" t="s">
        <v>19</v>
      </c>
    </row>
    <row r="152" spans="8:10" x14ac:dyDescent="0.3">
      <c r="H152">
        <v>73564</v>
      </c>
      <c r="I152" t="s">
        <v>35</v>
      </c>
      <c r="J152" t="s">
        <v>19</v>
      </c>
    </row>
    <row r="153" spans="8:10" x14ac:dyDescent="0.3">
      <c r="H153">
        <v>73605</v>
      </c>
      <c r="I153" t="s">
        <v>36</v>
      </c>
      <c r="J153" t="s">
        <v>18</v>
      </c>
    </row>
    <row r="154" spans="8:10" x14ac:dyDescent="0.3">
      <c r="H154">
        <v>73798</v>
      </c>
      <c r="I154" t="s">
        <v>37</v>
      </c>
      <c r="J154" t="s">
        <v>19</v>
      </c>
    </row>
    <row r="155" spans="8:10" x14ac:dyDescent="0.3">
      <c r="H155">
        <v>73802</v>
      </c>
      <c r="I155" t="s">
        <v>38</v>
      </c>
      <c r="J155" t="s">
        <v>19</v>
      </c>
    </row>
    <row r="156" spans="8:10" x14ac:dyDescent="0.3">
      <c r="H156">
        <v>74100</v>
      </c>
      <c r="I156" t="s">
        <v>39</v>
      </c>
      <c r="J156" t="s">
        <v>18</v>
      </c>
    </row>
    <row r="157" spans="8:10" x14ac:dyDescent="0.3">
      <c r="H157">
        <v>74101</v>
      </c>
      <c r="I157" t="s">
        <v>183</v>
      </c>
      <c r="J157" t="s">
        <v>18</v>
      </c>
    </row>
    <row r="158" spans="8:10" x14ac:dyDescent="0.3">
      <c r="H158">
        <v>74298</v>
      </c>
      <c r="I158" t="s">
        <v>184</v>
      </c>
      <c r="J158" t="s">
        <v>19</v>
      </c>
    </row>
    <row r="159" spans="8:10" x14ac:dyDescent="0.3">
      <c r="H159">
        <v>74318</v>
      </c>
      <c r="I159" t="s">
        <v>185</v>
      </c>
      <c r="J159" t="s">
        <v>19</v>
      </c>
    </row>
    <row r="160" spans="8:10" x14ac:dyDescent="0.3">
      <c r="H160">
        <v>74465</v>
      </c>
      <c r="I160" t="s">
        <v>186</v>
      </c>
      <c r="J160" t="s">
        <v>18</v>
      </c>
    </row>
    <row r="161" spans="8:10" x14ac:dyDescent="0.3">
      <c r="H161">
        <v>74473</v>
      </c>
      <c r="I161" t="s">
        <v>187</v>
      </c>
      <c r="J161" t="s">
        <v>18</v>
      </c>
    </row>
    <row r="162" spans="8:10" x14ac:dyDescent="0.3">
      <c r="H162">
        <v>74490</v>
      </c>
      <c r="I162" t="s">
        <v>188</v>
      </c>
      <c r="J162" t="s">
        <v>18</v>
      </c>
    </row>
    <row r="163" spans="8:10" x14ac:dyDescent="0.3">
      <c r="H163">
        <v>74606</v>
      </c>
      <c r="I163" t="s">
        <v>189</v>
      </c>
      <c r="J163" t="s">
        <v>19</v>
      </c>
    </row>
    <row r="164" spans="8:10" x14ac:dyDescent="0.3">
      <c r="H164">
        <v>74734</v>
      </c>
      <c r="I164" t="s">
        <v>190</v>
      </c>
      <c r="J164" t="s">
        <v>19</v>
      </c>
    </row>
    <row r="165" spans="8:10" x14ac:dyDescent="0.3">
      <c r="H165">
        <v>74854</v>
      </c>
      <c r="I165" t="s">
        <v>191</v>
      </c>
      <c r="J165" t="s">
        <v>19</v>
      </c>
    </row>
    <row r="166" spans="8:10" x14ac:dyDescent="0.3">
      <c r="H166">
        <v>74978</v>
      </c>
      <c r="I166" t="s">
        <v>192</v>
      </c>
      <c r="J166" t="s">
        <v>19</v>
      </c>
    </row>
    <row r="167" spans="8:10" x14ac:dyDescent="0.3">
      <c r="H167">
        <v>74979</v>
      </c>
      <c r="I167" t="s">
        <v>193</v>
      </c>
      <c r="J167" t="s">
        <v>19</v>
      </c>
    </row>
    <row r="168" spans="8:10" x14ac:dyDescent="0.3">
      <c r="H168">
        <v>75047</v>
      </c>
      <c r="I168" t="s">
        <v>194</v>
      </c>
      <c r="J168" t="s">
        <v>19</v>
      </c>
    </row>
    <row r="169" spans="8:10" x14ac:dyDescent="0.3">
      <c r="H169">
        <v>75051</v>
      </c>
      <c r="I169" t="s">
        <v>195</v>
      </c>
      <c r="J169" t="s">
        <v>19</v>
      </c>
    </row>
    <row r="170" spans="8:10" x14ac:dyDescent="0.3">
      <c r="H170">
        <v>75508</v>
      </c>
      <c r="I170" t="s">
        <v>196</v>
      </c>
      <c r="J170" t="s">
        <v>17</v>
      </c>
    </row>
    <row r="171" spans="8:10" x14ac:dyDescent="0.3">
      <c r="H171">
        <v>75509</v>
      </c>
      <c r="I171" t="s">
        <v>197</v>
      </c>
      <c r="J171" t="s">
        <v>17</v>
      </c>
    </row>
    <row r="172" spans="8:10" x14ac:dyDescent="0.3">
      <c r="H172">
        <v>75510</v>
      </c>
      <c r="I172" t="s">
        <v>198</v>
      </c>
      <c r="J172" t="s">
        <v>18</v>
      </c>
    </row>
    <row r="173" spans="8:10" x14ac:dyDescent="0.3">
      <c r="H173">
        <v>75865</v>
      </c>
      <c r="I173" t="s">
        <v>199</v>
      </c>
      <c r="J173" t="s">
        <v>18</v>
      </c>
    </row>
    <row r="174" spans="8:10" x14ac:dyDescent="0.3">
      <c r="H174">
        <v>75940</v>
      </c>
      <c r="I174" t="s">
        <v>200</v>
      </c>
      <c r="J174" t="s">
        <v>18</v>
      </c>
    </row>
    <row r="175" spans="8:10" x14ac:dyDescent="0.3">
      <c r="H175">
        <v>75979</v>
      </c>
      <c r="I175" t="s">
        <v>201</v>
      </c>
      <c r="J175" t="s">
        <v>18</v>
      </c>
    </row>
    <row r="176" spans="8:10" x14ac:dyDescent="0.3">
      <c r="H176">
        <v>76199</v>
      </c>
      <c r="I176" t="s">
        <v>202</v>
      </c>
      <c r="J176" t="s">
        <v>18</v>
      </c>
    </row>
    <row r="177" spans="8:10" x14ac:dyDescent="0.3">
      <c r="H177">
        <v>76200</v>
      </c>
      <c r="I177" t="s">
        <v>203</v>
      </c>
      <c r="J177" t="s">
        <v>18</v>
      </c>
    </row>
    <row r="178" spans="8:10" x14ac:dyDescent="0.3">
      <c r="H178">
        <v>76202</v>
      </c>
      <c r="I178" t="s">
        <v>204</v>
      </c>
      <c r="J178" t="s">
        <v>18</v>
      </c>
    </row>
    <row r="179" spans="8:10" x14ac:dyDescent="0.3">
      <c r="H179">
        <v>76203</v>
      </c>
      <c r="I179" t="s">
        <v>205</v>
      </c>
      <c r="J179" t="s">
        <v>18</v>
      </c>
    </row>
    <row r="180" spans="8:10" x14ac:dyDescent="0.3">
      <c r="H180">
        <v>76212</v>
      </c>
      <c r="I180" t="s">
        <v>206</v>
      </c>
      <c r="J180" t="s">
        <v>18</v>
      </c>
    </row>
  </sheetData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6</vt:i4>
      </vt:variant>
    </vt:vector>
  </HeadingPairs>
  <TitlesOfParts>
    <vt:vector size="10" baseType="lpstr">
      <vt:lpstr>SEMANA</vt:lpstr>
      <vt:lpstr>ENERO</vt:lpstr>
      <vt:lpstr>FEBRERO</vt:lpstr>
      <vt:lpstr>Hoja1</vt:lpstr>
      <vt:lpstr>FEBRERO!FUNCION</vt:lpstr>
      <vt:lpstr>FUNCION</vt:lpstr>
      <vt:lpstr>FEBRERO!OPERATIVA</vt:lpstr>
      <vt:lpstr>OPERATIVA</vt:lpstr>
      <vt:lpstr>FEBRERO!TURNOS</vt:lpstr>
      <vt:lpstr>TURNOS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Javier García Meras</dc:creator>
  <cp:keywords/>
  <dc:description/>
  <cp:lastModifiedBy>Javier García Meras</cp:lastModifiedBy>
  <cp:revision/>
  <dcterms:created xsi:type="dcterms:W3CDTF">2015-06-05T18:17:20Z</dcterms:created>
  <dcterms:modified xsi:type="dcterms:W3CDTF">2023-12-19T11:35:34Z</dcterms:modified>
  <cp:category/>
  <cp:contentStatus/>
</cp:coreProperties>
</file>